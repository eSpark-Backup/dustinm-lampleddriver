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<sst xmlns="http://schemas.openxmlformats.org/spreadsheetml/2006/main" count="206" uniqueCount="145">
  <si>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</si>
  <si>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</si>
  <si>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</si>
  <si>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</si>
  <si>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</si>
  <si>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</si>
  <si>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</si>
  <si>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</si>
  <si>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</si>
  <si>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</si>
  <si>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</si>
  <si>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C1, C4, C6, C8, C9, C10, C11, C12, C13, C14, C15, C16, C17, C18, C19, C20, C22, C23, C24, C25, C26, C27, C28, C29, C30, C31, C32, C33, C34, C35, C36, C37, C38, C39, C40</t>
  </si>
  <si>
    <t>CAP CER 0.1UF 25V X7R 0402</t>
  </si>
  <si>
    <t>Cap-0402</t>
  </si>
  <si>
    <t>GRM155R71E104KE14D</t>
  </si>
  <si>
    <t>Murata</t>
  </si>
  <si>
    <t>0.1uF</t>
  </si>
  <si>
    <t>C2, C5</t>
  </si>
  <si>
    <t>CAP CER 10UF 25V X7R 0805</t>
  </si>
  <si>
    <t>Cap-0805</t>
  </si>
  <si>
    <t>GRM21BZ71E106KE15L</t>
  </si>
  <si>
    <t>10uF</t>
  </si>
  <si>
    <t>Capacitor</t>
  </si>
  <si>
    <t>C3</t>
  </si>
  <si>
    <t>CAP CER 22UF 10V X7R 0805</t>
  </si>
  <si>
    <t>GRM21BZ71A226ME15L</t>
  </si>
  <si>
    <t>22uF</t>
  </si>
  <si>
    <t>C7</t>
  </si>
  <si>
    <t>CAP CER 0.1UF 16V X7R 0402</t>
  </si>
  <si>
    <t>GRM155R71C104KA88D</t>
  </si>
  <si>
    <t>C21</t>
  </si>
  <si>
    <t>CAP CER 22UF 25V X7R 1210</t>
  </si>
  <si>
    <t>Cap-1210</t>
  </si>
  <si>
    <t>GRM32ER71E226KE15L</t>
  </si>
  <si>
    <t>C41</t>
  </si>
  <si>
    <t>CAP CER 47PF 50V C0G/NP0 0402</t>
  </si>
  <si>
    <t>GCM1555C1H470FA16D</t>
  </si>
  <si>
    <t>47pF</t>
  </si>
  <si>
    <t>C42</t>
  </si>
  <si>
    <t>CAP CER 30PF 50V C0G/NPO 0402</t>
  </si>
  <si>
    <t>CC0402JRNPO9BN300</t>
  </si>
  <si>
    <t>Yageo</t>
  </si>
  <si>
    <t>30pF</t>
  </si>
  <si>
    <t>C43</t>
  </si>
  <si>
    <t>CAP CER 22PF 50V C0G/NPO 0402</t>
  </si>
  <si>
    <t>CC0402JRNPO9BN220</t>
  </si>
  <si>
    <t>22PF</t>
  </si>
  <si>
    <t>C44</t>
  </si>
  <si>
    <t>CAP CER 13PF 50V C0G/NP0 0402</t>
  </si>
  <si>
    <t>CC0402FRNPO9BN130</t>
  </si>
  <si>
    <t>13pF</t>
  </si>
  <si>
    <t>Wire To Board Connector</t>
  </si>
  <si>
    <t>J1</t>
  </si>
  <si>
    <t>1x3P 3P XH 1 Tin 2.5mm 3 -25℃~+85℃ Brass 3A Straight Plugin,P=2.5mm Wire To Board Connector ROHS</t>
  </si>
  <si>
    <t>XH-3A</t>
  </si>
  <si>
    <t>HCTL</t>
  </si>
  <si>
    <t>-</t>
  </si>
  <si>
    <t>Connector</t>
  </si>
  <si>
    <t>J2</t>
  </si>
  <si>
    <t>1x6P SH 1 1mm 6 SMD,P=1mm Wire To Board / Wire To Wire Connector ROHS</t>
  </si>
  <si>
    <t>Voltlink Target</t>
  </si>
  <si>
    <t>C145963</t>
  </si>
  <si>
    <t>BOOMELE</t>
  </si>
  <si>
    <t>Headers and Wire Housings</t>
  </si>
  <si>
    <t>J3</t>
  </si>
  <si>
    <t>CONN HEADER SMD R/A 3POS 1.25MM</t>
  </si>
  <si>
    <t>53261-0371</t>
  </si>
  <si>
    <t>Molex</t>
  </si>
  <si>
    <t>J4</t>
  </si>
  <si>
    <t>CONN HEADER SMD R/A 2POS 1.25MM</t>
  </si>
  <si>
    <t>53261-0271</t>
  </si>
  <si>
    <t>RGB LED</t>
  </si>
  <si>
    <t>LED1, LED2, LED3, LED4, LED5, LED6, LED7, LED8, LED9, LED10, LED11, LED12, LED13, LED14, LED15, LED16, LED17, LED18, LED19, LED20, LED21, LED22, LED23, LED24</t>
  </si>
  <si>
    <t>5mA -40℃~+80℃ RGB SMD,2x2mm Light Emitting Diodes (LED) ROHS</t>
  </si>
  <si>
    <t>SK6812-EC20</t>
  </si>
  <si>
    <t>OPSCO Optoelectronics</t>
  </si>
  <si>
    <t>Resistor</t>
  </si>
  <si>
    <t>R1, R15, R18, R19, R21, R22, R23, R24, R27, R29</t>
  </si>
  <si>
    <t>RES 0 OHM JUMPER 1/10W 0603</t>
  </si>
  <si>
    <t>Res-0603</t>
  </si>
  <si>
    <t>RC0603JR-070RL</t>
  </si>
  <si>
    <t>0R</t>
  </si>
  <si>
    <t>R2, R3, R8, R9</t>
  </si>
  <si>
    <t>RES 2.2K OHM 1% 1/10W 0603</t>
  </si>
  <si>
    <t>RC0603FR-072K2L</t>
  </si>
  <si>
    <t>2.2K</t>
  </si>
  <si>
    <t>R4, R5, R6, R7, R10, R11, R12, R13</t>
  </si>
  <si>
    <t>RES 10K OHM 1% 1/16W 0402</t>
  </si>
  <si>
    <t>Res-0402</t>
  </si>
  <si>
    <t>RC0402FR-0710KL</t>
  </si>
  <si>
    <t>10K</t>
  </si>
  <si>
    <t>R14, R16, R20</t>
  </si>
  <si>
    <t>DNP</t>
  </si>
  <si>
    <t>DO NOT PLACE</t>
  </si>
  <si>
    <t>R17</t>
  </si>
  <si>
    <t>RES 470 OHM 1% 1/10W 0603</t>
  </si>
  <si>
    <t>RC0603FR-07470RL</t>
  </si>
  <si>
    <t>470R</t>
  </si>
  <si>
    <t>IC</t>
  </si>
  <si>
    <t>U1</t>
  </si>
  <si>
    <t>SOT-223 Linear Voltage Regulators (LDO) ROHS</t>
  </si>
  <si>
    <t>SOT- 223</t>
  </si>
  <si>
    <t>AMS1117-3.3</t>
  </si>
  <si>
    <t>GUOXIN JIAPIN SEMICONDUCTOR</t>
  </si>
  <si>
    <t>Module</t>
  </si>
  <si>
    <t>U2</t>
  </si>
  <si>
    <t>RF TXRX MOD BT WIFI PCB TH SMD</t>
  </si>
  <si>
    <t>ESP32-C6-WROOM-1U-N8</t>
  </si>
  <si>
    <t>Espressif Systems</t>
  </si>
  <si>
    <t>Sensors</t>
  </si>
  <si>
    <t>U3</t>
  </si>
  <si>
    <t>SENSOR OPT AMBIENT 4 SMD J LEAD</t>
  </si>
  <si>
    <t>VEML7700-TT</t>
  </si>
  <si>
    <t>Vishay Semiconductors</t>
  </si>
  <si>
    <t>U4</t>
  </si>
  <si>
    <t>IC BUF NON-INVERT 5.5V SOT23-5</t>
  </si>
  <si>
    <t>SOT-23-5</t>
  </si>
  <si>
    <t>SN74LV1T34DBVR</t>
  </si>
  <si>
    <t>Texas Instruments</t>
  </si>
  <si>
    <t>Sensor</t>
  </si>
  <si>
    <t>U5</t>
  </si>
  <si>
    <t>SOP-8 Position Sensors ROHS</t>
  </si>
  <si>
    <t>SOP-8</t>
  </si>
  <si>
    <t>MT6701CT-STD</t>
  </si>
  <si>
    <t>Magn Tek</t>
  </si>
  <si>
    <t>U6</t>
  </si>
  <si>
    <t>BLDC MOTOR DRIVER 2-11V QFN20</t>
  </si>
  <si>
    <t>20-QFN(3x3)</t>
  </si>
  <si>
    <t>TMC6300-LA-T</t>
  </si>
  <si>
    <t>Trinamic</t>
  </si>
  <si>
    <t>U7</t>
  </si>
  <si>
    <t>SOT-23-6L Touch Sensors ROHS</t>
  </si>
  <si>
    <t>SOT-23-6</t>
  </si>
  <si>
    <t>TTP233H-BA6</t>
  </si>
  <si>
    <t>Tontek Design Tech</t>
  </si>
  <si>
    <t>Peripheral</t>
  </si>
  <si>
    <t>Antenna</t>
  </si>
  <si>
    <t>high gain embedded 2.4g Wifi U.FL Ble FPC Flexible Antenna ufl internal Antenna flexible Ble BT Antenna for ESP32 Module</t>
  </si>
  <si>
    <t>custom</t>
  </si>
  <si>
    <t>ZXWIFI24I408</t>
  </si>
  <si>
    <t xml:space="preserve">Signal Plus
</t>
  </si>
  <si>
    <t>Motor</t>
  </si>
  <si>
    <t>Three Phase Brushless Gimbal Stabilizer Motor</t>
  </si>
  <si>
    <t>EM3215 3-Phase Brushless DC Motor</t>
  </si>
  <si>
    <t>SparkFun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</si>
</sst>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0"/>
  <sheetViews>
    <sheetView tabSelected="1" topLeftCell="A15" workbookViewId="0">
      <selection activeCell="I22" sqref="I22:I28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19.2857142857143" customWidth="1"/>
    <col min="7" max="7" width="28.5714285714286" customWidth="1"/>
    <col min="8" max="8" width="18.5714285714286" customWidth="1"/>
    <col min="9" max="9" width="6.71428571428571" customWidth="1"/>
    <col min="10" max="10" width="9.28571428571429" customWidth="1"/>
    <col min="11" max="11" width="12.2857142857143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6"/>
      <c r="J1" s="16"/>
      <c r="K1" s="16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48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35</v>
      </c>
      <c r="K3" s="9"/>
    </row>
    <row r="4" ht="15.75" spans="1:11">
      <c r="A4" s="2"/>
      <c r="B4" s="7">
        <f>ROW(B4)-ROW($B$2)</f>
        <v>2</v>
      </c>
      <c r="C4" s="11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15</v>
      </c>
      <c r="I4" s="13" t="s">
        <v>21</v>
      </c>
      <c r="J4" s="12">
        <v>2</v>
      </c>
      <c r="K4" s="12"/>
    </row>
    <row r="5" spans="1:11">
      <c r="A5" s="2"/>
      <c r="B5" s="7">
        <f>ROW(B5)-ROW($B$2)</f>
        <v>3</v>
      </c>
      <c r="C5" s="8" t="s">
        <v>22</v>
      </c>
      <c r="D5" s="9" t="s">
        <v>23</v>
      </c>
      <c r="E5" s="10" t="s">
        <v>24</v>
      </c>
      <c r="F5" s="9" t="s">
        <v>19</v>
      </c>
      <c r="G5" s="10" t="s">
        <v>25</v>
      </c>
      <c r="H5" s="9" t="s">
        <v>15</v>
      </c>
      <c r="I5" s="10" t="s">
        <v>26</v>
      </c>
      <c r="J5" s="9">
        <v>1</v>
      </c>
      <c r="K5" s="9"/>
    </row>
    <row r="6" spans="1:11">
      <c r="A6" s="2"/>
      <c r="B6" s="7">
        <f>ROW(B6)-ROW($B$2)</f>
        <v>4</v>
      </c>
      <c r="C6" s="11" t="s">
        <v>22</v>
      </c>
      <c r="D6" s="12" t="s">
        <v>27</v>
      </c>
      <c r="E6" s="13" t="s">
        <v>28</v>
      </c>
      <c r="F6" s="12" t="s">
        <v>13</v>
      </c>
      <c r="G6" s="13" t="s">
        <v>29</v>
      </c>
      <c r="H6" s="12" t="s">
        <v>15</v>
      </c>
      <c r="I6" s="13" t="s">
        <v>16</v>
      </c>
      <c r="J6" s="12">
        <v>1</v>
      </c>
      <c r="K6" s="12"/>
    </row>
    <row r="7" spans="1:11">
      <c r="A7" s="2"/>
      <c r="B7" s="7">
        <f>ROW(B7)-ROW($B$2)</f>
        <v>5</v>
      </c>
      <c r="C7" s="11" t="s">
        <v>22</v>
      </c>
      <c r="D7" s="9" t="s">
        <v>30</v>
      </c>
      <c r="E7" s="10" t="s">
        <v>31</v>
      </c>
      <c r="F7" s="9" t="s">
        <v>32</v>
      </c>
      <c r="G7" s="10" t="s">
        <v>33</v>
      </c>
      <c r="H7" s="9" t="s">
        <v>15</v>
      </c>
      <c r="I7" s="10" t="s">
        <v>26</v>
      </c>
      <c r="J7" s="9">
        <v>1</v>
      </c>
      <c r="K7" s="9"/>
    </row>
    <row r="8" spans="1:11">
      <c r="A8" s="2"/>
      <c r="B8" s="7">
        <f>ROW(B8)-ROW($B$2)</f>
        <v>6</v>
      </c>
      <c r="C8" s="11" t="s">
        <v>22</v>
      </c>
      <c r="D8" s="12" t="s">
        <v>34</v>
      </c>
      <c r="E8" s="13" t="s">
        <v>35</v>
      </c>
      <c r="F8" s="12" t="s">
        <v>13</v>
      </c>
      <c r="G8" s="13" t="s">
        <v>36</v>
      </c>
      <c r="H8" s="12" t="s">
        <v>15</v>
      </c>
      <c r="I8" s="13" t="s">
        <v>37</v>
      </c>
      <c r="J8" s="12">
        <v>1</v>
      </c>
      <c r="K8" s="12"/>
    </row>
    <row r="9" spans="1:11">
      <c r="A9" s="2"/>
      <c r="B9" s="7">
        <f>ROW(B9)-ROW($B$2)</f>
        <v>7</v>
      </c>
      <c r="C9" s="8" t="s">
        <v>22</v>
      </c>
      <c r="D9" s="9" t="s">
        <v>38</v>
      </c>
      <c r="E9" s="10" t="s">
        <v>39</v>
      </c>
      <c r="F9" s="9" t="s">
        <v>13</v>
      </c>
      <c r="G9" s="10" t="s">
        <v>40</v>
      </c>
      <c r="H9" s="9" t="s">
        <v>41</v>
      </c>
      <c r="I9" s="10" t="s">
        <v>42</v>
      </c>
      <c r="J9" s="9">
        <v>1</v>
      </c>
      <c r="K9" s="9"/>
    </row>
    <row r="10" ht="15.75" spans="1:11">
      <c r="A10" s="2"/>
      <c r="B10" s="7">
        <f>ROW(B10)-ROW($B$2)</f>
        <v>8</v>
      </c>
      <c r="C10" s="11" t="s">
        <v>22</v>
      </c>
      <c r="D10" s="12" t="s">
        <v>43</v>
      </c>
      <c r="E10" s="13" t="s">
        <v>44</v>
      </c>
      <c r="F10" s="12" t="s">
        <v>13</v>
      </c>
      <c r="G10" s="13" t="s">
        <v>45</v>
      </c>
      <c r="H10" s="12" t="s">
        <v>41</v>
      </c>
      <c r="I10" s="13" t="s">
        <v>46</v>
      </c>
      <c r="J10" s="12">
        <v>1</v>
      </c>
      <c r="K10" s="12"/>
    </row>
    <row r="11" spans="1:11">
      <c r="A11" s="2"/>
      <c r="B11" s="7">
        <f>ROW(B11)-ROW($B$2)</f>
        <v>9</v>
      </c>
      <c r="C11" s="8" t="s">
        <v>10</v>
      </c>
      <c r="D11" s="9" t="s">
        <v>47</v>
      </c>
      <c r="E11" s="10" t="s">
        <v>48</v>
      </c>
      <c r="F11" s="9" t="s">
        <v>13</v>
      </c>
      <c r="G11" s="10" t="s">
        <v>49</v>
      </c>
      <c r="H11" s="9" t="s">
        <v>41</v>
      </c>
      <c r="I11" s="10" t="s">
        <v>50</v>
      </c>
      <c r="J11" s="9">
        <v>1</v>
      </c>
      <c r="K11" s="9"/>
    </row>
    <row r="12" ht="36.75" spans="1:11">
      <c r="A12" s="2"/>
      <c r="B12" s="7">
        <f>ROW(B12)-ROW($B$2)</f>
        <v>10</v>
      </c>
      <c r="C12" s="11" t="s">
        <v>51</v>
      </c>
      <c r="D12" s="12" t="s">
        <v>52</v>
      </c>
      <c r="E12" s="13" t="s">
        <v>53</v>
      </c>
      <c r="F12" s="12" t="s">
        <v>54</v>
      </c>
      <c r="G12" s="13" t="s">
        <v>54</v>
      </c>
      <c r="H12" s="12" t="s">
        <v>55</v>
      </c>
      <c r="I12" s="13" t="s">
        <v>56</v>
      </c>
      <c r="J12" s="12">
        <v>1</v>
      </c>
      <c r="K12" s="12"/>
    </row>
    <row r="13" ht="24.75" spans="1:11">
      <c r="A13" s="2"/>
      <c r="B13" s="7">
        <f>ROW(B13)-ROW($B$2)</f>
        <v>11</v>
      </c>
      <c r="C13" s="8" t="s">
        <v>57</v>
      </c>
      <c r="D13" s="9" t="s">
        <v>58</v>
      </c>
      <c r="E13" s="10" t="s">
        <v>59</v>
      </c>
      <c r="F13" s="9" t="s">
        <v>60</v>
      </c>
      <c r="G13" s="10" t="s">
        <v>61</v>
      </c>
      <c r="H13" s="9" t="s">
        <v>62</v>
      </c>
      <c r="I13" s="13" t="s">
        <v>56</v>
      </c>
      <c r="J13" s="9">
        <v>1</v>
      </c>
      <c r="K13" s="9"/>
    </row>
    <row r="14" ht="26.25" spans="1:11">
      <c r="A14" s="2"/>
      <c r="B14" s="7">
        <f>ROW(B14)-ROW($B$2)</f>
        <v>12</v>
      </c>
      <c r="C14" s="11" t="s">
        <v>63</v>
      </c>
      <c r="D14" s="12" t="s">
        <v>64</v>
      </c>
      <c r="E14" s="13" t="s">
        <v>65</v>
      </c>
      <c r="F14" s="12" t="s">
        <v>66</v>
      </c>
      <c r="G14" s="13" t="s">
        <v>66</v>
      </c>
      <c r="H14" s="12" t="s">
        <v>67</v>
      </c>
      <c r="I14" s="13" t="s">
        <v>56</v>
      </c>
      <c r="J14" s="12">
        <v>1</v>
      </c>
      <c r="K14" s="12"/>
    </row>
    <row r="15" ht="26.25" spans="1:11">
      <c r="A15" s="2"/>
      <c r="B15" s="7">
        <f>ROW(B15)-ROW($B$2)</f>
        <v>13</v>
      </c>
      <c r="C15" s="8" t="s">
        <v>63</v>
      </c>
      <c r="D15" s="9" t="s">
        <v>68</v>
      </c>
      <c r="E15" s="10" t="s">
        <v>69</v>
      </c>
      <c r="F15" s="9">
        <v>532610271</v>
      </c>
      <c r="G15" s="10" t="s">
        <v>70</v>
      </c>
      <c r="H15" s="9" t="s">
        <v>67</v>
      </c>
      <c r="I15" s="13" t="s">
        <v>56</v>
      </c>
      <c r="J15" s="9">
        <v>1</v>
      </c>
      <c r="K15" s="9"/>
    </row>
    <row r="16" ht="48.75" spans="1:11">
      <c r="A16" s="2"/>
      <c r="B16" s="7">
        <f>ROW(B16)-ROW($B$2)</f>
        <v>14</v>
      </c>
      <c r="C16" s="11" t="s">
        <v>71</v>
      </c>
      <c r="D16" s="12" t="s">
        <v>72</v>
      </c>
      <c r="E16" s="13" t="s">
        <v>73</v>
      </c>
      <c r="F16" s="12" t="s">
        <v>74</v>
      </c>
      <c r="G16" s="13" t="s">
        <v>74</v>
      </c>
      <c r="H16" s="12" t="s">
        <v>75</v>
      </c>
      <c r="I16" s="13" t="s">
        <v>56</v>
      </c>
      <c r="J16" s="12">
        <v>24</v>
      </c>
      <c r="K16" s="12"/>
    </row>
    <row r="17" spans="1:11">
      <c r="A17" s="2"/>
      <c r="B17" s="7">
        <f>ROW(B17)-ROW($B$2)</f>
        <v>15</v>
      </c>
      <c r="C17" s="8" t="s">
        <v>76</v>
      </c>
      <c r="D17" s="9" t="s">
        <v>77</v>
      </c>
      <c r="E17" s="10" t="s">
        <v>78</v>
      </c>
      <c r="F17" s="9" t="s">
        <v>79</v>
      </c>
      <c r="G17" s="10" t="s">
        <v>80</v>
      </c>
      <c r="H17" s="9" t="s">
        <v>41</v>
      </c>
      <c r="I17" s="10" t="s">
        <v>81</v>
      </c>
      <c r="J17" s="9">
        <v>10</v>
      </c>
      <c r="K17" s="9"/>
    </row>
    <row r="18" ht="15.75" spans="1:11">
      <c r="A18" s="2"/>
      <c r="B18" s="7">
        <f>ROW(B18)-ROW($B$2)</f>
        <v>16</v>
      </c>
      <c r="C18" s="11" t="s">
        <v>76</v>
      </c>
      <c r="D18" s="12" t="s">
        <v>82</v>
      </c>
      <c r="E18" s="13" t="s">
        <v>83</v>
      </c>
      <c r="F18" s="12" t="s">
        <v>79</v>
      </c>
      <c r="G18" s="13" t="s">
        <v>84</v>
      </c>
      <c r="H18" s="12" t="s">
        <v>41</v>
      </c>
      <c r="I18" s="13" t="s">
        <v>85</v>
      </c>
      <c r="J18" s="12">
        <v>4</v>
      </c>
      <c r="K18" s="12"/>
    </row>
    <row r="19" ht="15.75" spans="1:11">
      <c r="A19" s="2"/>
      <c r="B19" s="7">
        <f>ROW(B19)-ROW($B$2)</f>
        <v>17</v>
      </c>
      <c r="C19" s="8" t="s">
        <v>76</v>
      </c>
      <c r="D19" s="9" t="s">
        <v>86</v>
      </c>
      <c r="E19" s="10" t="s">
        <v>87</v>
      </c>
      <c r="F19" s="9" t="s">
        <v>88</v>
      </c>
      <c r="G19" s="10" t="s">
        <v>89</v>
      </c>
      <c r="H19" s="9" t="s">
        <v>41</v>
      </c>
      <c r="I19" s="10" t="s">
        <v>90</v>
      </c>
      <c r="J19" s="9">
        <v>8</v>
      </c>
      <c r="K19" s="9"/>
    </row>
    <row r="20" ht="15.75" spans="1:11">
      <c r="A20" s="2"/>
      <c r="B20" s="7">
        <f>ROW(B20)-ROW($B$2)</f>
        <v>18</v>
      </c>
      <c r="C20" s="11" t="s">
        <v>76</v>
      </c>
      <c r="D20" s="14" t="s">
        <v>91</v>
      </c>
      <c r="E20" s="15" t="s">
        <v>78</v>
      </c>
      <c r="F20" s="14" t="s">
        <v>79</v>
      </c>
      <c r="G20" s="15" t="s">
        <v>80</v>
      </c>
      <c r="H20" s="14" t="s">
        <v>41</v>
      </c>
      <c r="I20" s="15" t="s">
        <v>92</v>
      </c>
      <c r="J20" s="14">
        <v>3</v>
      </c>
      <c r="K20" s="17" t="s">
        <v>93</v>
      </c>
    </row>
    <row r="21" ht="15.75" spans="1:11">
      <c r="A21" s="2"/>
      <c r="B21" s="7">
        <f>ROW(B21)-ROW($B$2)</f>
        <v>19</v>
      </c>
      <c r="C21" s="11" t="s">
        <v>76</v>
      </c>
      <c r="D21" s="9" t="s">
        <v>94</v>
      </c>
      <c r="E21" s="10" t="s">
        <v>95</v>
      </c>
      <c r="F21" s="9" t="s">
        <v>79</v>
      </c>
      <c r="G21" s="10" t="s">
        <v>96</v>
      </c>
      <c r="H21" s="9" t="s">
        <v>41</v>
      </c>
      <c r="I21" s="10" t="s">
        <v>97</v>
      </c>
      <c r="J21" s="9">
        <v>1</v>
      </c>
      <c r="K21" s="9"/>
    </row>
    <row r="22" ht="24.75" spans="1:11">
      <c r="A22" s="2"/>
      <c r="B22" s="7">
        <f>ROW(B22)-ROW($B$2)</f>
        <v>20</v>
      </c>
      <c r="C22" s="11" t="s">
        <v>98</v>
      </c>
      <c r="D22" s="12" t="s">
        <v>99</v>
      </c>
      <c r="E22" s="13" t="s">
        <v>100</v>
      </c>
      <c r="F22" s="12" t="s">
        <v>101</v>
      </c>
      <c r="G22" s="13" t="s">
        <v>102</v>
      </c>
      <c r="H22" s="12" t="s">
        <v>103</v>
      </c>
      <c r="I22" s="13" t="s">
        <v>56</v>
      </c>
      <c r="J22" s="12">
        <v>1</v>
      </c>
      <c r="K22" s="12"/>
    </row>
    <row r="23" spans="1:11">
      <c r="A23" s="2"/>
      <c r="B23" s="7">
        <f>ROW(B23)-ROW($B$2)</f>
        <v>21</v>
      </c>
      <c r="C23" s="8" t="s">
        <v>104</v>
      </c>
      <c r="D23" s="9" t="s">
        <v>105</v>
      </c>
      <c r="E23" s="10" t="s">
        <v>106</v>
      </c>
      <c r="F23" s="9" t="s">
        <v>107</v>
      </c>
      <c r="G23" s="10" t="s">
        <v>107</v>
      </c>
      <c r="H23" s="9" t="s">
        <v>108</v>
      </c>
      <c r="I23" s="13" t="s">
        <v>56</v>
      </c>
      <c r="J23" s="9">
        <v>1</v>
      </c>
      <c r="K23" s="9"/>
    </row>
    <row r="24" spans="1:11">
      <c r="A24" s="2"/>
      <c r="B24" s="7">
        <f>ROW(B24)-ROW($B$2)</f>
        <v>22</v>
      </c>
      <c r="C24" s="11" t="s">
        <v>109</v>
      </c>
      <c r="D24" s="12" t="s">
        <v>110</v>
      </c>
      <c r="E24" s="13" t="s">
        <v>111</v>
      </c>
      <c r="F24" s="12" t="s">
        <v>112</v>
      </c>
      <c r="G24" s="13" t="s">
        <v>112</v>
      </c>
      <c r="H24" s="12" t="s">
        <v>113</v>
      </c>
      <c r="I24" s="13" t="s">
        <v>56</v>
      </c>
      <c r="J24" s="12">
        <v>1</v>
      </c>
      <c r="K24" s="12"/>
    </row>
    <row r="25" spans="1:11">
      <c r="A25" s="2"/>
      <c r="B25" s="7">
        <f>ROW(B25)-ROW($B$2)</f>
        <v>23</v>
      </c>
      <c r="C25" s="8" t="s">
        <v>98</v>
      </c>
      <c r="D25" s="9" t="s">
        <v>114</v>
      </c>
      <c r="E25" s="10" t="s">
        <v>115</v>
      </c>
      <c r="F25" s="9" t="s">
        <v>116</v>
      </c>
      <c r="G25" s="10" t="s">
        <v>117</v>
      </c>
      <c r="H25" s="9" t="s">
        <v>118</v>
      </c>
      <c r="I25" s="13" t="s">
        <v>56</v>
      </c>
      <c r="J25" s="9">
        <v>1</v>
      </c>
      <c r="K25" s="9"/>
    </row>
    <row r="26" spans="1:11">
      <c r="A26" s="2"/>
      <c r="B26" s="7">
        <f>ROW(B26)-ROW($B$2)</f>
        <v>24</v>
      </c>
      <c r="C26" s="11" t="s">
        <v>119</v>
      </c>
      <c r="D26" s="12" t="s">
        <v>120</v>
      </c>
      <c r="E26" s="13" t="s">
        <v>121</v>
      </c>
      <c r="F26" s="12" t="s">
        <v>122</v>
      </c>
      <c r="G26" s="13" t="s">
        <v>123</v>
      </c>
      <c r="H26" s="12" t="s">
        <v>124</v>
      </c>
      <c r="I26" s="13" t="s">
        <v>56</v>
      </c>
      <c r="J26" s="12">
        <v>1</v>
      </c>
      <c r="K26" s="12"/>
    </row>
    <row r="27" spans="1:11">
      <c r="A27" s="2"/>
      <c r="B27" s="7">
        <f>ROW(B27)-ROW($B$2)</f>
        <v>25</v>
      </c>
      <c r="C27" s="8" t="s">
        <v>98</v>
      </c>
      <c r="D27" s="9" t="s">
        <v>125</v>
      </c>
      <c r="E27" s="10" t="s">
        <v>126</v>
      </c>
      <c r="F27" s="9" t="s">
        <v>127</v>
      </c>
      <c r="G27" s="10" t="s">
        <v>128</v>
      </c>
      <c r="H27" s="9" t="s">
        <v>129</v>
      </c>
      <c r="I27" s="13" t="s">
        <v>56</v>
      </c>
      <c r="J27" s="9">
        <v>1</v>
      </c>
      <c r="K27" s="9"/>
    </row>
    <row r="28" ht="15.75" spans="1:11">
      <c r="A28" s="2"/>
      <c r="B28" s="7">
        <f>ROW(B28)-ROW($B$2)</f>
        <v>26</v>
      </c>
      <c r="C28" s="11" t="s">
        <v>98</v>
      </c>
      <c r="D28" s="12" t="s">
        <v>130</v>
      </c>
      <c r="E28" s="13" t="s">
        <v>131</v>
      </c>
      <c r="F28" s="12" t="s">
        <v>132</v>
      </c>
      <c r="G28" s="13" t="s">
        <v>133</v>
      </c>
      <c r="H28" s="12" t="s">
        <v>134</v>
      </c>
      <c r="I28" s="13" t="s">
        <v>56</v>
      </c>
      <c r="J28" s="12">
        <v>1</v>
      </c>
      <c r="K28" s="12"/>
    </row>
    <row r="29" ht="48.75" spans="2:11">
      <c r="B29" s="7">
        <f>ROW(B29)-ROW($B$2)</f>
        <v>27</v>
      </c>
      <c r="C29" s="8" t="s">
        <v>135</v>
      </c>
      <c r="D29" s="9" t="s">
        <v>136</v>
      </c>
      <c r="E29" s="10" t="s">
        <v>137</v>
      </c>
      <c r="F29" s="9" t="s">
        <v>138</v>
      </c>
      <c r="G29" s="10" t="s">
        <v>139</v>
      </c>
      <c r="H29" s="9" t="s">
        <v>140</v>
      </c>
      <c r="I29" s="10" t="s">
        <v>56</v>
      </c>
      <c r="J29" s="9">
        <v>1</v>
      </c>
      <c r="K29" s="9"/>
    </row>
    <row r="30" ht="24.75" spans="2:11">
      <c r="B30" s="7">
        <f>ROW(B30)-ROW($B$2)</f>
        <v>28</v>
      </c>
      <c r="C30" s="8" t="s">
        <v>135</v>
      </c>
      <c r="D30" s="9" t="s">
        <v>141</v>
      </c>
      <c r="E30" s="10" t="s">
        <v>142</v>
      </c>
      <c r="F30" s="9" t="s">
        <v>138</v>
      </c>
      <c r="G30" s="10" t="s">
        <v>143</v>
      </c>
      <c r="H30" s="9" t="s">
        <v>144</v>
      </c>
      <c r="I30" s="10" t="s">
        <v>56</v>
      </c>
      <c r="J30" s="9">
        <v>1</v>
      </c>
      <c r="K30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2025-07-10T15:27:59Z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F75D96C9112044B9AF9560FD04762580_13</vt:lpwstr>
  </property>
  <property fmtid="{D5CDD505-2E9C-101B-9397-08002B2CF9AE}" pid="3" name="KSOProductBuildVer">
    <vt:lpwstr>2057-12.2.0.21931</vt:lpwstr>
  </property>
</Properties>
</file>
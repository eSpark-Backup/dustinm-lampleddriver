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dustinm-lampleddriver\Design-Files\Knob-PCB-v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25" i="1" l="1"/>
  <c r="B24" i="1" l="1"/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<sst xmlns="http://schemas.openxmlformats.org/spreadsheetml/2006/main" count="172" uniqueCount="124">
  <si>
    <t>#</t>
  </si>
  <si>
    <t>Item Type</t>
  </si>
  <si>
    <t>Capacitors</t>
  </si>
  <si>
    <t>Capacitor</t>
  </si>
  <si>
    <t>Wire To Board Connector</t>
  </si>
  <si>
    <t>Connector</t>
  </si>
  <si>
    <t>Headers and Wire Housings</t>
  </si>
  <si>
    <t>RGB LED</t>
  </si>
  <si>
    <t>Resistor</t>
  </si>
  <si>
    <t>IC</t>
  </si>
  <si>
    <t>Module</t>
  </si>
  <si>
    <t>Sensors</t>
  </si>
  <si>
    <t>Sensor</t>
  </si>
  <si>
    <t>Designator</t>
  </si>
  <si>
    <t>C1, C4, C6, C8, C9, C10, C11, C12, C13, C14, C15, C16, C17, C18, C19, C20, C22, C23, C24, C25, C26, C27, C28, C29, C30, C31, C32, C33, C34, C35, C36, C37, C38, C39</t>
  </si>
  <si>
    <t>C2, C5</t>
  </si>
  <si>
    <t>C3</t>
  </si>
  <si>
    <t>C7</t>
  </si>
  <si>
    <t>C21</t>
  </si>
  <si>
    <t>J1</t>
  </si>
  <si>
    <t>J2</t>
  </si>
  <si>
    <t>J3</t>
  </si>
  <si>
    <t>J4</t>
  </si>
  <si>
    <t>LED1, LED2, LED3, LED4, LED5, LED6, LED7, LED8, LED9, LED10, LED11, LED12, LED13, LED14, LED15, LED16, LED17, LED18, LED19, LED20, LED21, LED22, LED23, LED24</t>
  </si>
  <si>
    <t>R1, R15, R18, R19, R21</t>
  </si>
  <si>
    <t>R2, R3, R8, R9</t>
  </si>
  <si>
    <t>R4, R5, R6, R7, R10, R11, R12</t>
  </si>
  <si>
    <t>R14, R16, R20</t>
  </si>
  <si>
    <t>R17</t>
  </si>
  <si>
    <t>U1</t>
  </si>
  <si>
    <t>U2</t>
  </si>
  <si>
    <t>U3</t>
  </si>
  <si>
    <t>U4</t>
  </si>
  <si>
    <t>U5</t>
  </si>
  <si>
    <t>U6</t>
  </si>
  <si>
    <t>Description</t>
  </si>
  <si>
    <t>CAP CER 0.1UF 25V X7R 0402</t>
  </si>
  <si>
    <t>CAP CER 10UF 25V X7R 0805</t>
  </si>
  <si>
    <t>CAP CER 22UF 10V X7R 0805</t>
  </si>
  <si>
    <t>CAP CER 0.1UF 16V X7R 0402</t>
  </si>
  <si>
    <t>CAP CER 22UF 25V X7R 1210</t>
  </si>
  <si>
    <t>1x3P 3P XH 1 Tin 2.5mm 3 -25℃~+85℃ Brass 3A Straight Plugin,P=2.5mm Wire To Board Connector ROHS</t>
  </si>
  <si>
    <t>1x6P SH 1 1mm 6 SMD,P=1mm Wire To Board / Wire To Wire Connector ROHS</t>
  </si>
  <si>
    <t>CONN HEADER SMD R/A 3POS 1.25MM</t>
  </si>
  <si>
    <t>CONN HEADER SMD R/A 2POS 1.25MM</t>
  </si>
  <si>
    <t>5mA -40℃~+80℃ RGB SMD,2x2mm Light Emitting Diodes (LED) ROHS</t>
  </si>
  <si>
    <t>RES 0 OHM JUMPER 1/10W 0603</t>
  </si>
  <si>
    <t>RES 2.2K OHM 1% 1/10W 0603</t>
  </si>
  <si>
    <t>RES 10K OHM 1% 1/16W 0402</t>
  </si>
  <si>
    <t>RES 470 OHM 1% 1/10W 0603</t>
  </si>
  <si>
    <t>SOT-223 Linear Voltage Regulators (LDO) ROHS</t>
  </si>
  <si>
    <t>RF TXRX MOD BT WIFIU.FL SMD</t>
  </si>
  <si>
    <t>SENSOR OPT AMBIENT 4 SMD J LEAD</t>
  </si>
  <si>
    <t>IC BUF NON-INVERT 5.5V SOT23-5</t>
  </si>
  <si>
    <t>SOP-8 Position Sensors ROHS</t>
  </si>
  <si>
    <t>BLDC MOTOR DRIVER 2-11V QFN20</t>
  </si>
  <si>
    <t>Footprint</t>
  </si>
  <si>
    <t>Cap-0402</t>
  </si>
  <si>
    <t>Cap-0805</t>
  </si>
  <si>
    <t>Cap-1210</t>
  </si>
  <si>
    <t>XH-3A</t>
  </si>
  <si>
    <t>53261-0371</t>
  </si>
  <si>
    <t>SK6812-EC20</t>
  </si>
  <si>
    <t>Res-0603</t>
  </si>
  <si>
    <t>Res-0402</t>
  </si>
  <si>
    <t>SOT- 223</t>
  </si>
  <si>
    <t>41-SMD UFL Module</t>
  </si>
  <si>
    <t>VEML7700-TT</t>
  </si>
  <si>
    <t>SOT-23-5</t>
  </si>
  <si>
    <t>SOP-8</t>
  </si>
  <si>
    <t>20-QFN(3x3)</t>
  </si>
  <si>
    <t>Manufacturer Part Number</t>
  </si>
  <si>
    <t>GRM155R71E104KE14D</t>
  </si>
  <si>
    <t>GRM21BZ71E106KE15L</t>
  </si>
  <si>
    <t>GRM21BZ71A226ME15L</t>
  </si>
  <si>
    <t>GRM155R71C104KA88D</t>
  </si>
  <si>
    <t>GRM32ER71E226KE15L</t>
  </si>
  <si>
    <t>C145963</t>
  </si>
  <si>
    <t>53261-0271</t>
  </si>
  <si>
    <t>RC0603JR-070RL</t>
  </si>
  <si>
    <t>RC0603FR-072K2L</t>
  </si>
  <si>
    <t>RC0402FR-0710KL</t>
  </si>
  <si>
    <t>RC0603FR-07470RL</t>
  </si>
  <si>
    <t>AMS1117-3.3</t>
  </si>
  <si>
    <t>ESP32-S3-WROOM-1U-N8R2</t>
  </si>
  <si>
    <t>SN74LV1T34DBVR</t>
  </si>
  <si>
    <t>MT6701CT-STD</t>
  </si>
  <si>
    <t>TMC6300-LA-T</t>
  </si>
  <si>
    <t>Manufacturer</t>
  </si>
  <si>
    <t>Murata</t>
  </si>
  <si>
    <t>HCTL</t>
  </si>
  <si>
    <t>BOOMELE</t>
  </si>
  <si>
    <t>Molex</t>
  </si>
  <si>
    <t>OPSCO Optoelectronics</t>
  </si>
  <si>
    <t>Yageo</t>
  </si>
  <si>
    <t>GUOXIN JIAPIN SEMICONDUCTOR</t>
  </si>
  <si>
    <t>Espressif Systems</t>
  </si>
  <si>
    <t>Vishay Semiconductors</t>
  </si>
  <si>
    <t>Texas Instruments</t>
  </si>
  <si>
    <t>Magn Tek</t>
  </si>
  <si>
    <t>Trinamic</t>
  </si>
  <si>
    <t>0.1uF</t>
  </si>
  <si>
    <t>10uF</t>
  </si>
  <si>
    <t>22uF</t>
  </si>
  <si>
    <t>0R</t>
  </si>
  <si>
    <t>2.2K</t>
  </si>
  <si>
    <t>10K</t>
  </si>
  <si>
    <t>DNP</t>
  </si>
  <si>
    <t>470R</t>
  </si>
  <si>
    <t>Quantity</t>
  </si>
  <si>
    <t>Remarks</t>
  </si>
  <si>
    <t>Value</t>
  </si>
  <si>
    <t>-</t>
  </si>
  <si>
    <t>custom</t>
  </si>
  <si>
    <t>Do Not Place</t>
  </si>
  <si>
    <t>Peripheral</t>
  </si>
  <si>
    <t>Antenna</t>
  </si>
  <si>
    <t>high gain embedded 2.4g Wifi U.FL Ble FPC Flexible Antenna ufl internal Antenna flexible Ble BT Antenna for ESP32 Module</t>
  </si>
  <si>
    <t>ZXWIFI24I408</t>
  </si>
  <si>
    <t xml:space="preserve">Signal Plus
</t>
  </si>
  <si>
    <t>Three Phase Brushless Gimbal Stabilizer Motor</t>
  </si>
  <si>
    <t>Motor</t>
  </si>
  <si>
    <t>EM3215 3-Phase Brushless DC Motor</t>
  </si>
  <si>
    <t>SparkFun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</si>
</sst>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5"/>
  <sheetViews>
    <sheetView tabSelected="1" topLeftCell="A7" workbookViewId="0">
      <selection activeCell="G30" sqref="G30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7"/>
      <c r="J1" s="17"/>
      <c r="K1" s="17"/>
    </row>
    <row r="2" spans="1:11" ht="15.75" thickBot="1" x14ac:dyDescent="0.3">
      <c r="A2" s="1"/>
      <c r="B2" s="5" t="s">
        <v>0</v>
      </c>
      <c r="C2" s="5" t="s">
        <v>1</v>
      </c>
      <c r="D2" s="5" t="s">
        <v>13</v>
      </c>
      <c r="E2" s="6" t="s">
        <v>35</v>
      </c>
      <c r="F2" s="5" t="s">
        <v>56</v>
      </c>
      <c r="G2" s="6" t="s">
        <v>71</v>
      </c>
      <c r="H2" s="5" t="s">
        <v>88</v>
      </c>
      <c r="I2" s="6" t="s">
        <v>111</v>
      </c>
      <c r="J2" s="5" t="s">
        <v>109</v>
      </c>
      <c r="K2" s="5" t="s">
        <v>110</v>
      </c>
    </row>
    <row r="3" spans="1:11" ht="48.75" thickBot="1" x14ac:dyDescent="0.3">
      <c r="A3" s="1"/>
      <c r="B3" s="11">
        <f>ROW(B3) - ROW($B$2)</f>
        <v>1</v>
      </c>
      <c r="C3" s="12" t="s">
        <v>2</v>
      </c>
      <c r="D3" s="7" t="s">
        <v>14</v>
      </c>
      <c r="E3" s="8" t="s">
        <v>36</v>
      </c>
      <c r="F3" s="7" t="s">
        <v>57</v>
      </c>
      <c r="G3" s="8" t="s">
        <v>72</v>
      </c>
      <c r="H3" s="7" t="s">
        <v>89</v>
      </c>
      <c r="I3" s="8" t="s">
        <v>101</v>
      </c>
      <c r="J3" s="7">
        <v>34</v>
      </c>
      <c r="K3" s="7"/>
    </row>
    <row r="4" spans="1:11" ht="15.75" thickBot="1" x14ac:dyDescent="0.3">
      <c r="A4" s="1"/>
      <c r="B4" s="11">
        <f t="shared" ref="B4:B22" si="0">ROW(B4) - ROW($B$2)</f>
        <v>2</v>
      </c>
      <c r="C4" s="13" t="s">
        <v>2</v>
      </c>
      <c r="D4" s="9" t="s">
        <v>15</v>
      </c>
      <c r="E4" s="10" t="s">
        <v>37</v>
      </c>
      <c r="F4" s="9" t="s">
        <v>58</v>
      </c>
      <c r="G4" s="10" t="s">
        <v>73</v>
      </c>
      <c r="H4" s="9" t="s">
        <v>89</v>
      </c>
      <c r="I4" s="10" t="s">
        <v>102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16</v>
      </c>
      <c r="E5" s="8" t="s">
        <v>38</v>
      </c>
      <c r="F5" s="7" t="s">
        <v>58</v>
      </c>
      <c r="G5" s="8" t="s">
        <v>74</v>
      </c>
      <c r="H5" s="7" t="s">
        <v>89</v>
      </c>
      <c r="I5" s="8" t="s">
        <v>103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17</v>
      </c>
      <c r="E6" s="10" t="s">
        <v>39</v>
      </c>
      <c r="F6" s="9" t="s">
        <v>57</v>
      </c>
      <c r="G6" s="10" t="s">
        <v>75</v>
      </c>
      <c r="H6" s="9" t="s">
        <v>89</v>
      </c>
      <c r="I6" s="10" t="s">
        <v>101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18</v>
      </c>
      <c r="E7" s="8" t="s">
        <v>40</v>
      </c>
      <c r="F7" s="7" t="s">
        <v>59</v>
      </c>
      <c r="G7" s="8" t="s">
        <v>76</v>
      </c>
      <c r="H7" s="7" t="s">
        <v>89</v>
      </c>
      <c r="I7" s="8" t="s">
        <v>103</v>
      </c>
      <c r="J7" s="7">
        <v>1</v>
      </c>
      <c r="K7" s="7"/>
    </row>
    <row r="8" spans="1:11" ht="36.75" thickBot="1" x14ac:dyDescent="0.3">
      <c r="A8" s="1"/>
      <c r="B8" s="11">
        <f t="shared" si="0"/>
        <v>6</v>
      </c>
      <c r="C8" s="13" t="s">
        <v>4</v>
      </c>
      <c r="D8" s="9" t="s">
        <v>19</v>
      </c>
      <c r="E8" s="10" t="s">
        <v>41</v>
      </c>
      <c r="F8" s="9" t="s">
        <v>112</v>
      </c>
      <c r="G8" s="10" t="s">
        <v>60</v>
      </c>
      <c r="H8" s="9" t="s">
        <v>90</v>
      </c>
      <c r="I8" s="10" t="s">
        <v>112</v>
      </c>
      <c r="J8" s="9">
        <v>1</v>
      </c>
      <c r="K8" s="9"/>
    </row>
    <row r="9" spans="1:11" ht="36.75" thickBot="1" x14ac:dyDescent="0.3">
      <c r="A9" s="1"/>
      <c r="B9" s="11">
        <f>ROW(B9) - ROW($B$2)</f>
        <v>7</v>
      </c>
      <c r="C9" s="12" t="s">
        <v>5</v>
      </c>
      <c r="D9" s="7" t="s">
        <v>20</v>
      </c>
      <c r="E9" s="8" t="s">
        <v>42</v>
      </c>
      <c r="F9" s="7" t="s">
        <v>113</v>
      </c>
      <c r="G9" s="8" t="s">
        <v>77</v>
      </c>
      <c r="H9" s="7" t="s">
        <v>91</v>
      </c>
      <c r="I9" s="8" t="s">
        <v>112</v>
      </c>
      <c r="J9" s="7">
        <v>1</v>
      </c>
      <c r="K9" s="7"/>
    </row>
    <row r="10" spans="1:11" ht="26.25" thickBot="1" x14ac:dyDescent="0.3">
      <c r="A10" s="1"/>
      <c r="B10" s="11">
        <f t="shared" si="0"/>
        <v>8</v>
      </c>
      <c r="C10" s="13" t="s">
        <v>6</v>
      </c>
      <c r="D10" s="9" t="s">
        <v>21</v>
      </c>
      <c r="E10" s="10" t="s">
        <v>43</v>
      </c>
      <c r="F10" s="7" t="s">
        <v>113</v>
      </c>
      <c r="G10" s="10" t="s">
        <v>61</v>
      </c>
      <c r="H10" s="9" t="s">
        <v>92</v>
      </c>
      <c r="I10" s="10" t="s">
        <v>112</v>
      </c>
      <c r="J10" s="9">
        <v>1</v>
      </c>
      <c r="K10" s="9"/>
    </row>
    <row r="11" spans="1:11" ht="26.25" thickBot="1" x14ac:dyDescent="0.3">
      <c r="A11" s="1"/>
      <c r="B11" s="11">
        <f>ROW(B11) - ROW($B$2)</f>
        <v>9</v>
      </c>
      <c r="C11" s="12" t="s">
        <v>6</v>
      </c>
      <c r="D11" s="7" t="s">
        <v>22</v>
      </c>
      <c r="E11" s="8" t="s">
        <v>44</v>
      </c>
      <c r="F11" s="7" t="s">
        <v>113</v>
      </c>
      <c r="G11" s="8" t="s">
        <v>78</v>
      </c>
      <c r="H11" s="7" t="s">
        <v>92</v>
      </c>
      <c r="I11" s="8" t="s">
        <v>112</v>
      </c>
      <c r="J11" s="7">
        <v>1</v>
      </c>
      <c r="K11" s="7"/>
    </row>
    <row r="12" spans="1:11" ht="48.75" thickBot="1" x14ac:dyDescent="0.3">
      <c r="A12" s="1"/>
      <c r="B12" s="11">
        <f t="shared" si="0"/>
        <v>10</v>
      </c>
      <c r="C12" s="13" t="s">
        <v>7</v>
      </c>
      <c r="D12" s="9" t="s">
        <v>23</v>
      </c>
      <c r="E12" s="10" t="s">
        <v>45</v>
      </c>
      <c r="F12" s="7" t="s">
        <v>112</v>
      </c>
      <c r="G12" s="10" t="s">
        <v>62</v>
      </c>
      <c r="H12" s="9" t="s">
        <v>93</v>
      </c>
      <c r="I12" s="10" t="s">
        <v>112</v>
      </c>
      <c r="J12" s="9">
        <v>24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8</v>
      </c>
      <c r="D13" s="7" t="s">
        <v>24</v>
      </c>
      <c r="E13" s="8" t="s">
        <v>46</v>
      </c>
      <c r="F13" s="7" t="s">
        <v>63</v>
      </c>
      <c r="G13" s="8" t="s">
        <v>79</v>
      </c>
      <c r="H13" s="7" t="s">
        <v>94</v>
      </c>
      <c r="I13" s="8" t="s">
        <v>104</v>
      </c>
      <c r="J13" s="7">
        <v>5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8</v>
      </c>
      <c r="D14" s="9" t="s">
        <v>25</v>
      </c>
      <c r="E14" s="10" t="s">
        <v>47</v>
      </c>
      <c r="F14" s="9" t="s">
        <v>63</v>
      </c>
      <c r="G14" s="10" t="s">
        <v>80</v>
      </c>
      <c r="H14" s="9" t="s">
        <v>94</v>
      </c>
      <c r="I14" s="10" t="s">
        <v>105</v>
      </c>
      <c r="J14" s="9">
        <v>4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8</v>
      </c>
      <c r="D15" s="7" t="s">
        <v>26</v>
      </c>
      <c r="E15" s="8" t="s">
        <v>48</v>
      </c>
      <c r="F15" s="7" t="s">
        <v>64</v>
      </c>
      <c r="G15" s="8" t="s">
        <v>81</v>
      </c>
      <c r="H15" s="7" t="s">
        <v>94</v>
      </c>
      <c r="I15" s="8" t="s">
        <v>106</v>
      </c>
      <c r="J15" s="7">
        <v>7</v>
      </c>
      <c r="K15" s="7"/>
    </row>
    <row r="16" spans="1:11" ht="15.75" thickBot="1" x14ac:dyDescent="0.3">
      <c r="A16" s="1"/>
      <c r="B16" s="11">
        <f t="shared" si="0"/>
        <v>14</v>
      </c>
      <c r="C16" s="16" t="s">
        <v>8</v>
      </c>
      <c r="D16" s="15" t="s">
        <v>27</v>
      </c>
      <c r="E16" s="14" t="s">
        <v>46</v>
      </c>
      <c r="F16" s="15" t="s">
        <v>63</v>
      </c>
      <c r="G16" s="14" t="s">
        <v>79</v>
      </c>
      <c r="H16" s="15" t="s">
        <v>94</v>
      </c>
      <c r="I16" s="14" t="s">
        <v>107</v>
      </c>
      <c r="J16" s="15">
        <v>3</v>
      </c>
      <c r="K16" s="15" t="s">
        <v>114</v>
      </c>
    </row>
    <row r="17" spans="1:11" ht="15.75" thickBot="1" x14ac:dyDescent="0.3">
      <c r="A17" s="1"/>
      <c r="B17" s="11">
        <f>ROW(B17) - ROW($B$2)</f>
        <v>15</v>
      </c>
      <c r="C17" s="13" t="s">
        <v>8</v>
      </c>
      <c r="D17" s="7" t="s">
        <v>28</v>
      </c>
      <c r="E17" s="8" t="s">
        <v>49</v>
      </c>
      <c r="F17" s="7" t="s">
        <v>63</v>
      </c>
      <c r="G17" s="8" t="s">
        <v>82</v>
      </c>
      <c r="H17" s="7" t="s">
        <v>94</v>
      </c>
      <c r="I17" s="8" t="s">
        <v>108</v>
      </c>
      <c r="J17" s="7">
        <v>1</v>
      </c>
      <c r="K17" s="7"/>
    </row>
    <row r="18" spans="1:11" ht="24.75" thickBot="1" x14ac:dyDescent="0.3">
      <c r="A18" s="1"/>
      <c r="B18" s="11">
        <f t="shared" si="0"/>
        <v>16</v>
      </c>
      <c r="C18" s="13" t="s">
        <v>9</v>
      </c>
      <c r="D18" s="9" t="s">
        <v>29</v>
      </c>
      <c r="E18" s="10" t="s">
        <v>50</v>
      </c>
      <c r="F18" s="9" t="s">
        <v>65</v>
      </c>
      <c r="G18" s="10" t="s">
        <v>83</v>
      </c>
      <c r="H18" s="9" t="s">
        <v>95</v>
      </c>
      <c r="I18" s="10" t="s">
        <v>112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10</v>
      </c>
      <c r="D19" s="7" t="s">
        <v>30</v>
      </c>
      <c r="E19" s="8" t="s">
        <v>51</v>
      </c>
      <c r="F19" s="7" t="s">
        <v>66</v>
      </c>
      <c r="G19" s="8" t="s">
        <v>84</v>
      </c>
      <c r="H19" s="7" t="s">
        <v>96</v>
      </c>
      <c r="I19" s="8" t="s">
        <v>112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11</v>
      </c>
      <c r="D20" s="9" t="s">
        <v>31</v>
      </c>
      <c r="E20" s="10" t="s">
        <v>52</v>
      </c>
      <c r="F20" s="7" t="s">
        <v>113</v>
      </c>
      <c r="G20" s="10" t="s">
        <v>67</v>
      </c>
      <c r="H20" s="9" t="s">
        <v>97</v>
      </c>
      <c r="I20" s="10" t="s">
        <v>112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9</v>
      </c>
      <c r="D21" s="7" t="s">
        <v>32</v>
      </c>
      <c r="E21" s="8" t="s">
        <v>53</v>
      </c>
      <c r="F21" s="7" t="s">
        <v>68</v>
      </c>
      <c r="G21" s="8" t="s">
        <v>85</v>
      </c>
      <c r="H21" s="7" t="s">
        <v>98</v>
      </c>
      <c r="I21" s="8" t="s">
        <v>112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12</v>
      </c>
      <c r="D22" s="9" t="s">
        <v>33</v>
      </c>
      <c r="E22" s="10" t="s">
        <v>54</v>
      </c>
      <c r="F22" s="9" t="s">
        <v>69</v>
      </c>
      <c r="G22" s="10" t="s">
        <v>86</v>
      </c>
      <c r="H22" s="9" t="s">
        <v>99</v>
      </c>
      <c r="I22" s="10" t="s">
        <v>112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9</v>
      </c>
      <c r="D23" s="7" t="s">
        <v>34</v>
      </c>
      <c r="E23" s="8" t="s">
        <v>55</v>
      </c>
      <c r="F23" s="7" t="s">
        <v>70</v>
      </c>
      <c r="G23" s="8" t="s">
        <v>87</v>
      </c>
      <c r="H23" s="7" t="s">
        <v>100</v>
      </c>
      <c r="I23" s="8" t="s">
        <v>112</v>
      </c>
      <c r="J23" s="7">
        <v>1</v>
      </c>
      <c r="K23" s="7"/>
    </row>
    <row r="24" spans="1:11" ht="48.75" thickBot="1" x14ac:dyDescent="0.3">
      <c r="B24" s="11">
        <f>ROW(B24) - ROW($B$2)</f>
        <v>22</v>
      </c>
      <c r="C24" s="12" t="s">
        <v>115</v>
      </c>
      <c r="D24" s="7" t="s">
        <v>116</v>
      </c>
      <c r="E24" s="8" t="s">
        <v>117</v>
      </c>
      <c r="F24" s="7" t="s">
        <v>113</v>
      </c>
      <c r="G24" s="8" t="s">
        <v>118</v>
      </c>
      <c r="H24" s="7" t="s">
        <v>119</v>
      </c>
      <c r="I24" s="8" t="s">
        <v>112</v>
      </c>
      <c r="J24" s="7">
        <v>1</v>
      </c>
      <c r="K24" s="7"/>
    </row>
    <row r="25" spans="1:11" ht="24.75" thickBot="1" x14ac:dyDescent="0.3">
      <c r="B25" s="11">
        <f>ROW(B25) - ROW($B$2)</f>
        <v>23</v>
      </c>
      <c r="C25" s="12" t="s">
        <v>115</v>
      </c>
      <c r="D25" s="7" t="s">
        <v>121</v>
      </c>
      <c r="E25" s="8" t="s">
        <v>120</v>
      </c>
      <c r="F25" s="7" t="s">
        <v>113</v>
      </c>
      <c r="G25" s="8" t="s">
        <v>122</v>
      </c>
      <c r="H25" s="7" t="s">
        <v>123</v>
      </c>
      <c r="I25" s="8" t="s">
        <v>112</v>
      </c>
      <c r="J25" s="7">
        <v>1</v>
      </c>
      <c r="K25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2025-06-25T09:10:07Z</dcterms:modified>
</cp:coreProperties>
</file>
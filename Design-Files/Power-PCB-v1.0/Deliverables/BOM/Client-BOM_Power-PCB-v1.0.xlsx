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ustinm-lampleddriver\Design-Files\Power-PCB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9" i="1" l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<sst xmlns="http://schemas.openxmlformats.org/spreadsheetml/2006/main" count="403" uniqueCount="281">
  <si>
    <t>#</t>
  </si>
  <si>
    <t>Item Type</t>
  </si>
  <si>
    <t>Bridge Rectifire</t>
  </si>
  <si>
    <t>Capacitor</t>
  </si>
  <si>
    <t>Capacitors</t>
  </si>
  <si>
    <t>TVS Diodes</t>
  </si>
  <si>
    <t>Diodes</t>
  </si>
  <si>
    <t>Diode</t>
  </si>
  <si>
    <t>Schottky Diodes</t>
  </si>
  <si>
    <t>(TVS/ESD)</t>
  </si>
  <si>
    <t>Fuses</t>
  </si>
  <si>
    <t>Terminal Block</t>
  </si>
  <si>
    <t>Wire To Board Connector</t>
  </si>
  <si>
    <t>Fixed Inductors</t>
  </si>
  <si>
    <t>Inductor</t>
  </si>
  <si>
    <t>Inductors</t>
  </si>
  <si>
    <t>Transformer</t>
  </si>
  <si>
    <t>Mosfet</t>
  </si>
  <si>
    <t>Thermistor</t>
  </si>
  <si>
    <t>Resistors</t>
  </si>
  <si>
    <t>Resistor</t>
  </si>
  <si>
    <t>IC</t>
  </si>
  <si>
    <t>Optocouplers</t>
  </si>
  <si>
    <t>Designator</t>
  </si>
  <si>
    <t>BR1</t>
  </si>
  <si>
    <t>C1</t>
  </si>
  <si>
    <t>C2</t>
  </si>
  <si>
    <t>C3</t>
  </si>
  <si>
    <t>C4, C9</t>
  </si>
  <si>
    <t>C5, C6</t>
  </si>
  <si>
    <t>C7</t>
  </si>
  <si>
    <t>C8, C16, C18</t>
  </si>
  <si>
    <t>C10</t>
  </si>
  <si>
    <t>C11</t>
  </si>
  <si>
    <t>C12</t>
  </si>
  <si>
    <t>C13</t>
  </si>
  <si>
    <t>C17, C19</t>
  </si>
  <si>
    <t>C20, C27</t>
  </si>
  <si>
    <t>C21</t>
  </si>
  <si>
    <t>C22, C23</t>
  </si>
  <si>
    <t>C24, C25, C26</t>
  </si>
  <si>
    <t>C28</t>
  </si>
  <si>
    <t>C29</t>
  </si>
  <si>
    <t>D1</t>
  </si>
  <si>
    <t>D2</t>
  </si>
  <si>
    <t>D3</t>
  </si>
  <si>
    <t>D4</t>
  </si>
  <si>
    <t>D5</t>
  </si>
  <si>
    <t>F1</t>
  </si>
  <si>
    <t>J1</t>
  </si>
  <si>
    <t>J2</t>
  </si>
  <si>
    <t>L1</t>
  </si>
  <si>
    <t>L2</t>
  </si>
  <si>
    <t>L3</t>
  </si>
  <si>
    <t>L4</t>
  </si>
  <si>
    <t>L5</t>
  </si>
  <si>
    <t>Q1</t>
  </si>
  <si>
    <t>R1</t>
  </si>
  <si>
    <t>R2, R4</t>
  </si>
  <si>
    <t>R3</t>
  </si>
  <si>
    <t>R5</t>
  </si>
  <si>
    <t>R6</t>
  </si>
  <si>
    <t>R7, R15</t>
  </si>
  <si>
    <t>R8, R13</t>
  </si>
  <si>
    <t>R9</t>
  </si>
  <si>
    <t>R10</t>
  </si>
  <si>
    <t>R11, R14</t>
  </si>
  <si>
    <t>R12</t>
  </si>
  <si>
    <t>R16</t>
  </si>
  <si>
    <t>R17</t>
  </si>
  <si>
    <t>R18, R19</t>
  </si>
  <si>
    <t>R20</t>
  </si>
  <si>
    <t>R21</t>
  </si>
  <si>
    <t>R22</t>
  </si>
  <si>
    <t>R23</t>
  </si>
  <si>
    <t>R24</t>
  </si>
  <si>
    <t>U1</t>
  </si>
  <si>
    <t>U2</t>
  </si>
  <si>
    <t>U3</t>
  </si>
  <si>
    <t>U4</t>
  </si>
  <si>
    <t>U5</t>
  </si>
  <si>
    <t>Description</t>
  </si>
  <si>
    <t>1.1V@4A 4A 1000V UMSB Bridge Rectifiers ROHS</t>
  </si>
  <si>
    <t>1.5nF ±20% X1,Y1 Plugin,P=10mm Safety Capacitors ROHS</t>
  </si>
  <si>
    <t>100nF ±10% X2 275V Plugin,P=10mm Safety Capacitors ROHS</t>
  </si>
  <si>
    <t>82uF 250V 1.35Ω@100kHz ±20% 1.27A@100kHz Plugin,D12.5xL20mm Aluminum Electrolytic Capacitors - Leaded ROHS</t>
  </si>
  <si>
    <t>630V 1000pF X7R ±10% 0805 Multilayer Ceramic Capacitors MLCC - SMD/SMT ROHS</t>
  </si>
  <si>
    <t>220uF 35V 472.5mA@120Hz ±20% Plugin,D8xL11.5mm Aluminum Electrolytic Capacitors - Leaded ROHS</t>
  </si>
  <si>
    <t>CAP CER 6.8UF 35V X7R 1206</t>
  </si>
  <si>
    <t>CAP CER 0.1UF 50V X7R 0603</t>
  </si>
  <si>
    <t>CAP ALUM 470UF 20% 35V RADIAL</t>
  </si>
  <si>
    <t>35V 10uF X5R ±10% 0805 Multilayer Ceramic Capacitors MLCC - SMD/SMT ROHS</t>
  </si>
  <si>
    <t>CAP CER 0.047UF 50V X7R 0603</t>
  </si>
  <si>
    <t>CAP CER 560PF 50V X7R 0603</t>
  </si>
  <si>
    <t>CAP CER 10UF 50V X7R 1210</t>
  </si>
  <si>
    <t>CAP CER 4.7UF 50V X7R 1206</t>
  </si>
  <si>
    <t>CAP CER 0.22UF 50V X7R 1206</t>
  </si>
  <si>
    <t>CAP CER 47UF 25V X5R 1206</t>
  </si>
  <si>
    <t>CAP CER 6.8PF 50V C0G/NPO 0402</t>
  </si>
  <si>
    <t>CAP CER 1UF 50V X5R 0603</t>
  </si>
  <si>
    <t>TVS DIODE 170VWM 275VC SMB</t>
  </si>
  <si>
    <t>DIODE STANDARD 1000V 1A SMA</t>
  </si>
  <si>
    <t>200V Independent Type 4A 860mV@4A SMC(DO-214AB) Schottky Diodes ROHS</t>
  </si>
  <si>
    <t>DIODE SCHOTTKY 100V 1A SOD123W</t>
  </si>
  <si>
    <t>6V 5V SOD-123 ESD and Surge Protection (TVS/ESD) ROHS</t>
  </si>
  <si>
    <t>FUSE BRD MNT 3A 125VAC/VDC 2SMD</t>
  </si>
  <si>
    <t>1x2P 18A -40℃~+105℃ 250V Black 12~30 Straight pin 5.08mm 2.5 1 2 Plugin,P=5.08mm Screw terminal ROHS</t>
  </si>
  <si>
    <t>1x3P 3P XH 1 Tin 2.5mm 3 -25℃~+85℃ Brass 3A Straight Plugin,P=2.5mm Wire To Board Connector ROHS</t>
  </si>
  <si>
    <t>CMC 1MH 2A 2LN TH</t>
  </si>
  <si>
    <t>3.4A 1uH ±30% 5.9A SMD,4x4mm Power Inductors ROHS</t>
  </si>
  <si>
    <t>4.5A 4.7uH ±20% SMD,10.1x10.1mm Power Inductors ROHS</t>
  </si>
  <si>
    <t>FIXED IND 15UH 9A 28 MOHM SMD</t>
  </si>
  <si>
    <t>XFMR FLYBACK AC/DC CONV 280UH TH</t>
  </si>
  <si>
    <t>650V 7A 0.6Ω@10V,3.5A 63W 4V 1 N-channel TO-252-2 MOSFETs ROHS</t>
  </si>
  <si>
    <t>5Ω 5A 4W 2800K ±10% Plugin,P=7.5mm NTC Thermistors ROHS</t>
  </si>
  <si>
    <t>RES 10 OHM 5% 1/8W 0805</t>
  </si>
  <si>
    <t>0.25W Thick Film Resistors 200V ±1% ±200ppm/℃ 2Ω 1206 Chip Resistor - Surface Mount ROHS</t>
  </si>
  <si>
    <t>RES 75K OHM 1% 1/10W 0603</t>
  </si>
  <si>
    <t>RES 24K OHM 5% 1/10W 0603</t>
  </si>
  <si>
    <t>RES 100K OHM 1% 1/10W 0603</t>
  </si>
  <si>
    <t>RES 0 OHM JUMPER 1/10W 0603</t>
  </si>
  <si>
    <t>RES 22K OHM 1% 1/10W 0603</t>
  </si>
  <si>
    <t>RES 2.7K OHM 5% 1/10W 0603</t>
  </si>
  <si>
    <t>0.1W Thick Film Resistors 75V ±100ppm/℃ ±1% 1kΩ 0603 Chip Resistor - Surface Mount ROHS</t>
  </si>
  <si>
    <t>0.25W Thick Film Resistors 500V ±1% ±300ppm/℃ 0.43Ω 1206 Chip Resistor - Surface Mount ROHS</t>
  </si>
  <si>
    <t>RES 0.2 OHM 1% 1/2W 1206</t>
  </si>
  <si>
    <t>RES SMD 698K OHM 0.1% 1/8W 0805</t>
  </si>
  <si>
    <t>RES SMD 100K OHM 0.1% 1/16W 0402</t>
  </si>
  <si>
    <t>RES SMD 51.1K OHM 0.1% 1/8W 0805</t>
  </si>
  <si>
    <t>RES SMD 24.9KOHM 0.1% 1/16W 0402</t>
  </si>
  <si>
    <t>RES 1.5K OHM 1% 1/10W 0603</t>
  </si>
  <si>
    <t>RES SMD 383K OHM 0.1% 1/8W 0805</t>
  </si>
  <si>
    <t>RES 44.2K OHM 1% 1/10W 0603</t>
  </si>
  <si>
    <t>IC OFFLINE SWITCH FLYBACK 7SOIC</t>
  </si>
  <si>
    <t>OPTOISOLATOR 5KV 1CH TRANS 4-SMD</t>
  </si>
  <si>
    <t>IC VREF SHUNT ADJ 0.5% SOT23-3</t>
  </si>
  <si>
    <t>IC LED DRV RGLTR PWM SOT23-THIN</t>
  </si>
  <si>
    <t>IC REG BUCK ADJ 4A 13WQFN</t>
  </si>
  <si>
    <t>Footprint</t>
  </si>
  <si>
    <t>DCF152M36Y5UG6BL0AA</t>
  </si>
  <si>
    <t>MP2104K27C3X6LC</t>
  </si>
  <si>
    <t>LKML2002E820MF</t>
  </si>
  <si>
    <t>Cap-0805</t>
  </si>
  <si>
    <t>35ZLH220MEFC8X11.5</t>
  </si>
  <si>
    <t>Cap-1206</t>
  </si>
  <si>
    <t>Cap-0603</t>
  </si>
  <si>
    <t>Cap-1210</t>
  </si>
  <si>
    <t>Cap-0402</t>
  </si>
  <si>
    <t>SMB_</t>
  </si>
  <si>
    <t>SMA(DO-214AC)</t>
  </si>
  <si>
    <t>SMC</t>
  </si>
  <si>
    <t>SOD-123W</t>
  </si>
  <si>
    <t>SOD-123</t>
  </si>
  <si>
    <t>0154003.DR</t>
  </si>
  <si>
    <t>DB128L-5.08-2P-BK-S</t>
  </si>
  <si>
    <t>XH-3A</t>
  </si>
  <si>
    <t>CR4030-1R0N</t>
  </si>
  <si>
    <t>YSLF1045-4R7M</t>
  </si>
  <si>
    <t>SRP1265A-150M</t>
  </si>
  <si>
    <t>TO-252-2L</t>
  </si>
  <si>
    <t>MF72 5D13</t>
  </si>
  <si>
    <t>RES-0805</t>
  </si>
  <si>
    <t>Res-1206</t>
  </si>
  <si>
    <t>Res-0603</t>
  </si>
  <si>
    <t>Res-0402</t>
  </si>
  <si>
    <t>7-SOIC</t>
  </si>
  <si>
    <t>LTV-817S-TA1-C</t>
  </si>
  <si>
    <t>SOT-23</t>
  </si>
  <si>
    <t>SOT-23-6</t>
  </si>
  <si>
    <t>13-WQFN-HR (3x2)</t>
  </si>
  <si>
    <t>Manufacturer Part Number</t>
  </si>
  <si>
    <t>MSB40M</t>
  </si>
  <si>
    <t>0805B102K631NT</t>
  </si>
  <si>
    <t>C3216X7R1V685K160AC</t>
  </si>
  <si>
    <t>GCM188R71H104KA57J</t>
  </si>
  <si>
    <t>CGA0805X5R106K350MT</t>
  </si>
  <si>
    <t>CC0603KRX7R9BB473</t>
  </si>
  <si>
    <t>CC0603KRX7R9BB561</t>
  </si>
  <si>
    <t>CC1210KKX7R9BB106</t>
  </si>
  <si>
    <t>UMK316AB7475KL-T</t>
  </si>
  <si>
    <t>CC1206JKX7R9BB224</t>
  </si>
  <si>
    <t>GRM31CR61E476ME44L</t>
  </si>
  <si>
    <t>CC0402CRNPO9BN6R8</t>
  </si>
  <si>
    <t>CL10A105KB8NNNC</t>
  </si>
  <si>
    <t>SMBJ170A-TR</t>
  </si>
  <si>
    <t>US1M-13-F</t>
  </si>
  <si>
    <t>MBRS4201T3G</t>
  </si>
  <si>
    <t>PMEG10010ELRX</t>
  </si>
  <si>
    <t>AZ3005-01G</t>
  </si>
  <si>
    <t>SM600R65CT9RL</t>
  </si>
  <si>
    <t>RC0805JR-0710RL</t>
  </si>
  <si>
    <t>FRC1206F2R00TS</t>
  </si>
  <si>
    <t>RC0603FR-0775KL</t>
  </si>
  <si>
    <t>RC0603JR-0724KL</t>
  </si>
  <si>
    <t>RC0603FR-07100KL</t>
  </si>
  <si>
    <t>RC0603JR-070RL</t>
  </si>
  <si>
    <t>RC0603FR-0722KL</t>
  </si>
  <si>
    <t>RC0603JR-072K7L</t>
  </si>
  <si>
    <t>0603WAF1001T5E</t>
  </si>
  <si>
    <t>FRL1206FR430TS</t>
  </si>
  <si>
    <t>PT1206FR-7W0R2L</t>
  </si>
  <si>
    <t>RT0805BRD07698KL</t>
  </si>
  <si>
    <t>RT0402BRD07100KL</t>
  </si>
  <si>
    <t>RT0805BRD0751K1L</t>
  </si>
  <si>
    <t>RT0402BRD0724K9L</t>
  </si>
  <si>
    <t>RC0603FR-071K5L</t>
  </si>
  <si>
    <t>RT0805BRD07383KL</t>
  </si>
  <si>
    <t>RC0603FR-0744K2L</t>
  </si>
  <si>
    <t>UCC28740DR</t>
  </si>
  <si>
    <t>TL431BQDBZT</t>
  </si>
  <si>
    <t>TPS92200D2DDCR</t>
  </si>
  <si>
    <t>LM60440AQRPKRQ1</t>
  </si>
  <si>
    <t>Manufacturer</t>
  </si>
  <si>
    <t>GOODWORK</t>
  </si>
  <si>
    <t>SHM</t>
  </si>
  <si>
    <t>SRD(Shenzhen Sincerity Tech)</t>
  </si>
  <si>
    <t>Ymin</t>
  </si>
  <si>
    <t>FH (Guangdong Fenghua Advanced Tech)</t>
  </si>
  <si>
    <t>Rubycon</t>
  </si>
  <si>
    <t>TDK Corporation</t>
  </si>
  <si>
    <t>Murata</t>
  </si>
  <si>
    <t>HRE</t>
  </si>
  <si>
    <t>Yageo</t>
  </si>
  <si>
    <t>Taiyo Yuden</t>
  </si>
  <si>
    <t>Samsung</t>
  </si>
  <si>
    <t>STMicroelectronics</t>
  </si>
  <si>
    <t>FUXINSEMI</t>
  </si>
  <si>
    <t>Nexperia</t>
  </si>
  <si>
    <t>AMAZING</t>
  </si>
  <si>
    <t>Littelfuse</t>
  </si>
  <si>
    <t>DIBO</t>
  </si>
  <si>
    <t>HCTL</t>
  </si>
  <si>
    <t>Wurth Electronics</t>
  </si>
  <si>
    <t>Ceaiya</t>
  </si>
  <si>
    <t>YJYCOIN</t>
  </si>
  <si>
    <t>Bourns</t>
  </si>
  <si>
    <t>SPS</t>
  </si>
  <si>
    <t>Nanjing Shiheng Elec</t>
  </si>
  <si>
    <t>FOJAN</t>
  </si>
  <si>
    <t>UNI-ROYAL(Uniroyal Elec)</t>
  </si>
  <si>
    <t>Texas Instruments</t>
  </si>
  <si>
    <t>Vishay Lite-On</t>
  </si>
  <si>
    <t>1.5nF</t>
  </si>
  <si>
    <t>100nF</t>
  </si>
  <si>
    <t>82uF</t>
  </si>
  <si>
    <t>1000pF</t>
  </si>
  <si>
    <t>220uF</t>
  </si>
  <si>
    <t>6.8uF</t>
  </si>
  <si>
    <t>0.1uF</t>
  </si>
  <si>
    <t>470uF</t>
  </si>
  <si>
    <t>10uF</t>
  </si>
  <si>
    <t>47nF</t>
  </si>
  <si>
    <t>560pF</t>
  </si>
  <si>
    <t>4.7uF</t>
  </si>
  <si>
    <t>220nF</t>
  </si>
  <si>
    <t>47uF</t>
  </si>
  <si>
    <t>6.8pF</t>
  </si>
  <si>
    <t>1uF</t>
  </si>
  <si>
    <t>4.7uH</t>
  </si>
  <si>
    <t>15uH</t>
  </si>
  <si>
    <t>10R</t>
  </si>
  <si>
    <t>2R</t>
  </si>
  <si>
    <t>75K</t>
  </si>
  <si>
    <t>24K</t>
  </si>
  <si>
    <t>100K</t>
  </si>
  <si>
    <t>0R</t>
  </si>
  <si>
    <t>22K</t>
  </si>
  <si>
    <t>2.7K</t>
  </si>
  <si>
    <t>1K</t>
  </si>
  <si>
    <t>0.43R</t>
  </si>
  <si>
    <t>0.2R</t>
  </si>
  <si>
    <t>698K</t>
  </si>
  <si>
    <t>51.1K</t>
  </si>
  <si>
    <t>24.9K</t>
  </si>
  <si>
    <t>1.5K</t>
  </si>
  <si>
    <t>383K</t>
  </si>
  <si>
    <t>44.2K</t>
  </si>
  <si>
    <t>Quantity</t>
  </si>
  <si>
    <t>Remarks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</si>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</sst>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9"/>
  <sheetViews>
    <sheetView tabSelected="1" topLeftCell="H1" zoomScaleNormal="100" workbookViewId="0">
      <selection activeCell="L2" sqref="L2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23</v>
      </c>
      <c r="E2" s="6" t="s">
        <v>81</v>
      </c>
      <c r="F2" s="5" t="s">
        <v>138</v>
      </c>
      <c r="G2" s="6" t="s">
        <v>170</v>
      </c>
      <c r="H2" s="5" t="s">
        <v>212</v>
      </c>
      <c r="I2" s="6" t="s">
        <v>279</v>
      </c>
      <c r="J2" s="5" t="s">
        <v>277</v>
      </c>
      <c r="K2" s="5" t="s">
        <v>278</v>
      </c>
    </row>
    <row r="3" spans="1:11" ht="24.6" thickBot="1" x14ac:dyDescent="0.35">
      <c r="A3" s="1"/>
      <c r="B3" s="11">
        <f>ROW(B3) - ROW($B$2)</f>
        <v>1</v>
      </c>
      <c r="C3" s="12" t="s">
        <v>2</v>
      </c>
      <c r="D3" s="7" t="s">
        <v>24</v>
      </c>
      <c r="E3" s="8" t="s">
        <v>82</v>
      </c>
      <c r="F3" s="7" t="s">
        <v>280</v>
      </c>
      <c r="G3" s="8" t="s">
        <v>171</v>
      </c>
      <c r="H3" s="7" t="s">
        <v>213</v>
      </c>
      <c r="I3" s="8" t="s">
        <v>280</v>
      </c>
      <c r="J3" s="7">
        <v>1</v>
      </c>
      <c r="K3" s="7"/>
    </row>
    <row r="4" spans="1:11" ht="24.6" thickBot="1" x14ac:dyDescent="0.35">
      <c r="A4" s="1"/>
      <c r="B4" s="11">
        <f t="shared" ref="B4:B58" si="0">ROW(B4) - ROW($B$2)</f>
        <v>2</v>
      </c>
      <c r="C4" s="13" t="s">
        <v>3</v>
      </c>
      <c r="D4" s="9" t="s">
        <v>25</v>
      </c>
      <c r="E4" s="10" t="s">
        <v>83</v>
      </c>
      <c r="F4" s="9" t="s">
        <v>280</v>
      </c>
      <c r="G4" s="10" t="s">
        <v>139</v>
      </c>
      <c r="H4" s="9" t="s">
        <v>214</v>
      </c>
      <c r="I4" s="10" t="s">
        <v>242</v>
      </c>
      <c r="J4" s="9">
        <v>1</v>
      </c>
      <c r="K4" s="9"/>
    </row>
    <row r="5" spans="1:11" ht="24.6" thickBot="1" x14ac:dyDescent="0.35">
      <c r="A5" s="1"/>
      <c r="B5" s="11">
        <f>ROW(B5) - ROW($B$2)</f>
        <v>3</v>
      </c>
      <c r="C5" s="12" t="s">
        <v>3</v>
      </c>
      <c r="D5" s="7" t="s">
        <v>26</v>
      </c>
      <c r="E5" s="8" t="s">
        <v>84</v>
      </c>
      <c r="F5" s="7" t="s">
        <v>280</v>
      </c>
      <c r="G5" s="8" t="s">
        <v>140</v>
      </c>
      <c r="H5" s="7" t="s">
        <v>215</v>
      </c>
      <c r="I5" s="8" t="s">
        <v>243</v>
      </c>
      <c r="J5" s="7">
        <v>1</v>
      </c>
      <c r="K5" s="7"/>
    </row>
    <row r="6" spans="1:11" ht="48.6" thickBot="1" x14ac:dyDescent="0.35">
      <c r="A6" s="1"/>
      <c r="B6" s="11">
        <f t="shared" si="0"/>
        <v>4</v>
      </c>
      <c r="C6" s="13" t="s">
        <v>3</v>
      </c>
      <c r="D6" s="9" t="s">
        <v>27</v>
      </c>
      <c r="E6" s="10" t="s">
        <v>85</v>
      </c>
      <c r="F6" s="9" t="s">
        <v>280</v>
      </c>
      <c r="G6" s="10" t="s">
        <v>141</v>
      </c>
      <c r="H6" s="9" t="s">
        <v>216</v>
      </c>
      <c r="I6" s="10" t="s">
        <v>244</v>
      </c>
      <c r="J6" s="9">
        <v>1</v>
      </c>
      <c r="K6" s="9"/>
    </row>
    <row r="7" spans="1:11" ht="36.6" thickBot="1" x14ac:dyDescent="0.35">
      <c r="A7" s="1"/>
      <c r="B7" s="11">
        <f>ROW(B7) - ROW($B$2)</f>
        <v>5</v>
      </c>
      <c r="C7" s="12" t="s">
        <v>3</v>
      </c>
      <c r="D7" s="7" t="s">
        <v>28</v>
      </c>
      <c r="E7" s="8" t="s">
        <v>86</v>
      </c>
      <c r="F7" s="7" t="s">
        <v>142</v>
      </c>
      <c r="G7" s="8" t="s">
        <v>172</v>
      </c>
      <c r="H7" s="7" t="s">
        <v>217</v>
      </c>
      <c r="I7" s="8" t="s">
        <v>245</v>
      </c>
      <c r="J7" s="7">
        <v>2</v>
      </c>
      <c r="K7" s="7"/>
    </row>
    <row r="8" spans="1:11" ht="36.6" thickBot="1" x14ac:dyDescent="0.35">
      <c r="A8" s="1"/>
      <c r="B8" s="11">
        <f t="shared" si="0"/>
        <v>6</v>
      </c>
      <c r="C8" s="13" t="s">
        <v>3</v>
      </c>
      <c r="D8" s="9" t="s">
        <v>29</v>
      </c>
      <c r="E8" s="10" t="s">
        <v>87</v>
      </c>
      <c r="F8" s="9" t="s">
        <v>280</v>
      </c>
      <c r="G8" s="10" t="s">
        <v>143</v>
      </c>
      <c r="H8" s="9" t="s">
        <v>218</v>
      </c>
      <c r="I8" s="10" t="s">
        <v>246</v>
      </c>
      <c r="J8" s="9">
        <v>2</v>
      </c>
      <c r="K8" s="9"/>
    </row>
    <row r="9" spans="1:11" ht="15" thickBot="1" x14ac:dyDescent="0.35">
      <c r="A9" s="1"/>
      <c r="B9" s="11">
        <f>ROW(B9) - ROW($B$2)</f>
        <v>7</v>
      </c>
      <c r="C9" s="12" t="s">
        <v>3</v>
      </c>
      <c r="D9" s="7" t="s">
        <v>30</v>
      </c>
      <c r="E9" s="8" t="s">
        <v>88</v>
      </c>
      <c r="F9" s="7" t="s">
        <v>144</v>
      </c>
      <c r="G9" s="8" t="s">
        <v>173</v>
      </c>
      <c r="H9" s="7" t="s">
        <v>219</v>
      </c>
      <c r="I9" s="8" t="s">
        <v>247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4</v>
      </c>
      <c r="D10" s="9" t="s">
        <v>31</v>
      </c>
      <c r="E10" s="10" t="s">
        <v>89</v>
      </c>
      <c r="F10" s="9" t="s">
        <v>145</v>
      </c>
      <c r="G10" s="10" t="s">
        <v>174</v>
      </c>
      <c r="H10" s="9" t="s">
        <v>220</v>
      </c>
      <c r="I10" s="10" t="s">
        <v>248</v>
      </c>
      <c r="J10" s="9">
        <v>3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3</v>
      </c>
      <c r="D11" s="7" t="s">
        <v>32</v>
      </c>
      <c r="E11" s="8" t="s">
        <v>90</v>
      </c>
      <c r="F11" s="7" t="s">
        <v>280</v>
      </c>
      <c r="G11" s="8"/>
      <c r="H11" s="7"/>
      <c r="I11" s="8" t="s">
        <v>249</v>
      </c>
      <c r="J11" s="7">
        <v>1</v>
      </c>
      <c r="K11" s="7"/>
    </row>
    <row r="12" spans="1:11" ht="36.6" thickBot="1" x14ac:dyDescent="0.35">
      <c r="A12" s="1"/>
      <c r="B12" s="11">
        <f t="shared" si="0"/>
        <v>10</v>
      </c>
      <c r="C12" s="13" t="s">
        <v>3</v>
      </c>
      <c r="D12" s="9" t="s">
        <v>33</v>
      </c>
      <c r="E12" s="10" t="s">
        <v>91</v>
      </c>
      <c r="F12" s="9" t="s">
        <v>142</v>
      </c>
      <c r="G12" s="10" t="s">
        <v>175</v>
      </c>
      <c r="H12" s="9" t="s">
        <v>221</v>
      </c>
      <c r="I12" s="10" t="s">
        <v>250</v>
      </c>
      <c r="J12" s="9">
        <v>1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4</v>
      </c>
      <c r="D13" s="7" t="s">
        <v>34</v>
      </c>
      <c r="E13" s="8" t="s">
        <v>92</v>
      </c>
      <c r="F13" s="7" t="s">
        <v>145</v>
      </c>
      <c r="G13" s="8" t="s">
        <v>176</v>
      </c>
      <c r="H13" s="7" t="s">
        <v>222</v>
      </c>
      <c r="I13" s="8" t="s">
        <v>251</v>
      </c>
      <c r="J13" s="7">
        <v>1</v>
      </c>
      <c r="K13" s="7"/>
    </row>
    <row r="14" spans="1:11" ht="15" thickBot="1" x14ac:dyDescent="0.35">
      <c r="A14" s="1"/>
      <c r="B14" s="11">
        <f t="shared" si="0"/>
        <v>12</v>
      </c>
      <c r="C14" s="13" t="s">
        <v>4</v>
      </c>
      <c r="D14" s="9" t="s">
        <v>35</v>
      </c>
      <c r="E14" s="10" t="s">
        <v>93</v>
      </c>
      <c r="F14" s="9" t="s">
        <v>145</v>
      </c>
      <c r="G14" s="10" t="s">
        <v>177</v>
      </c>
      <c r="H14" s="9" t="s">
        <v>222</v>
      </c>
      <c r="I14" s="10" t="s">
        <v>252</v>
      </c>
      <c r="J14" s="9">
        <v>1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4</v>
      </c>
      <c r="D15" s="7" t="s">
        <v>36</v>
      </c>
      <c r="E15" s="8" t="s">
        <v>94</v>
      </c>
      <c r="F15" s="7" t="s">
        <v>146</v>
      </c>
      <c r="G15" s="8" t="s">
        <v>178</v>
      </c>
      <c r="H15" s="7" t="s">
        <v>222</v>
      </c>
      <c r="I15" s="8" t="s">
        <v>250</v>
      </c>
      <c r="J15" s="7">
        <v>2</v>
      </c>
      <c r="K15" s="7"/>
    </row>
    <row r="16" spans="1:11" ht="15" thickBot="1" x14ac:dyDescent="0.35">
      <c r="A16" s="1"/>
      <c r="B16" s="11">
        <f t="shared" si="0"/>
        <v>14</v>
      </c>
      <c r="C16" s="13" t="s">
        <v>3</v>
      </c>
      <c r="D16" s="9" t="s">
        <v>37</v>
      </c>
      <c r="E16" s="10" t="s">
        <v>89</v>
      </c>
      <c r="F16" s="9" t="s">
        <v>145</v>
      </c>
      <c r="G16" s="10"/>
      <c r="H16" s="9"/>
      <c r="I16" s="10" t="s">
        <v>248</v>
      </c>
      <c r="J16" s="9">
        <v>2</v>
      </c>
      <c r="K16" s="9"/>
    </row>
    <row r="17" spans="1:11" ht="15" thickBot="1" x14ac:dyDescent="0.35">
      <c r="A17" s="1"/>
      <c r="B17" s="11">
        <f>ROW(B17) - ROW($B$2)</f>
        <v>15</v>
      </c>
      <c r="C17" s="12" t="s">
        <v>3</v>
      </c>
      <c r="D17" s="7" t="s">
        <v>38</v>
      </c>
      <c r="E17" s="8" t="s">
        <v>95</v>
      </c>
      <c r="F17" s="7" t="s">
        <v>144</v>
      </c>
      <c r="G17" s="8" t="s">
        <v>179</v>
      </c>
      <c r="H17" s="7" t="s">
        <v>223</v>
      </c>
      <c r="I17" s="8" t="s">
        <v>253</v>
      </c>
      <c r="J17" s="7">
        <v>1</v>
      </c>
      <c r="K17" s="7"/>
    </row>
    <row r="18" spans="1:11" ht="15" thickBot="1" x14ac:dyDescent="0.35">
      <c r="A18" s="1"/>
      <c r="B18" s="11">
        <f t="shared" si="0"/>
        <v>16</v>
      </c>
      <c r="C18" s="13" t="s">
        <v>3</v>
      </c>
      <c r="D18" s="9" t="s">
        <v>39</v>
      </c>
      <c r="E18" s="10" t="s">
        <v>96</v>
      </c>
      <c r="F18" s="9" t="s">
        <v>144</v>
      </c>
      <c r="G18" s="10" t="s">
        <v>180</v>
      </c>
      <c r="H18" s="9" t="s">
        <v>222</v>
      </c>
      <c r="I18" s="10" t="s">
        <v>254</v>
      </c>
      <c r="J18" s="9">
        <v>2</v>
      </c>
      <c r="K18" s="9"/>
    </row>
    <row r="19" spans="1:11" ht="15" thickBot="1" x14ac:dyDescent="0.35">
      <c r="A19" s="1"/>
      <c r="B19" s="11">
        <f>ROW(B19) - ROW($B$2)</f>
        <v>17</v>
      </c>
      <c r="C19" s="12" t="s">
        <v>3</v>
      </c>
      <c r="D19" s="7" t="s">
        <v>40</v>
      </c>
      <c r="E19" s="8" t="s">
        <v>97</v>
      </c>
      <c r="F19" s="7" t="s">
        <v>144</v>
      </c>
      <c r="G19" s="8" t="s">
        <v>181</v>
      </c>
      <c r="H19" s="7" t="s">
        <v>220</v>
      </c>
      <c r="I19" s="8" t="s">
        <v>255</v>
      </c>
      <c r="J19" s="7">
        <v>3</v>
      </c>
      <c r="K19" s="7"/>
    </row>
    <row r="20" spans="1:11" ht="15" thickBot="1" x14ac:dyDescent="0.35">
      <c r="A20" s="1"/>
      <c r="B20" s="11">
        <f t="shared" si="0"/>
        <v>18</v>
      </c>
      <c r="C20" s="13" t="s">
        <v>3</v>
      </c>
      <c r="D20" s="9" t="s">
        <v>41</v>
      </c>
      <c r="E20" s="10" t="s">
        <v>98</v>
      </c>
      <c r="F20" s="9" t="s">
        <v>147</v>
      </c>
      <c r="G20" s="10" t="s">
        <v>182</v>
      </c>
      <c r="H20" s="9" t="s">
        <v>222</v>
      </c>
      <c r="I20" s="10" t="s">
        <v>256</v>
      </c>
      <c r="J20" s="9">
        <v>1</v>
      </c>
      <c r="K20" s="9"/>
    </row>
    <row r="21" spans="1:11" ht="15" thickBot="1" x14ac:dyDescent="0.35">
      <c r="A21" s="1"/>
      <c r="B21" s="11">
        <f>ROW(B21) - ROW($B$2)</f>
        <v>19</v>
      </c>
      <c r="C21" s="12" t="s">
        <v>3</v>
      </c>
      <c r="D21" s="7" t="s">
        <v>42</v>
      </c>
      <c r="E21" s="8" t="s">
        <v>99</v>
      </c>
      <c r="F21" s="7" t="s">
        <v>145</v>
      </c>
      <c r="G21" s="8" t="s">
        <v>183</v>
      </c>
      <c r="H21" s="7" t="s">
        <v>224</v>
      </c>
      <c r="I21" s="8" t="s">
        <v>257</v>
      </c>
      <c r="J21" s="7">
        <v>1</v>
      </c>
      <c r="K21" s="7"/>
    </row>
    <row r="22" spans="1:11" ht="15" thickBot="1" x14ac:dyDescent="0.35">
      <c r="A22" s="1"/>
      <c r="B22" s="11">
        <f t="shared" si="0"/>
        <v>20</v>
      </c>
      <c r="C22" s="13" t="s">
        <v>5</v>
      </c>
      <c r="D22" s="9" t="s">
        <v>43</v>
      </c>
      <c r="E22" s="10" t="s">
        <v>100</v>
      </c>
      <c r="F22" s="9" t="s">
        <v>148</v>
      </c>
      <c r="G22" s="10" t="s">
        <v>184</v>
      </c>
      <c r="H22" s="9" t="s">
        <v>225</v>
      </c>
      <c r="I22" s="10" t="s">
        <v>280</v>
      </c>
      <c r="J22" s="9">
        <v>1</v>
      </c>
      <c r="K22" s="9"/>
    </row>
    <row r="23" spans="1:11" ht="15" thickBot="1" x14ac:dyDescent="0.35">
      <c r="A23" s="1"/>
      <c r="B23" s="11">
        <f>ROW(B23) - ROW($B$2)</f>
        <v>21</v>
      </c>
      <c r="C23" s="12" t="s">
        <v>6</v>
      </c>
      <c r="D23" s="7" t="s">
        <v>44</v>
      </c>
      <c r="E23" s="8" t="s">
        <v>101</v>
      </c>
      <c r="F23" s="7" t="s">
        <v>149</v>
      </c>
      <c r="G23" s="8" t="s">
        <v>185</v>
      </c>
      <c r="H23" s="7" t="s">
        <v>6</v>
      </c>
      <c r="I23" s="8" t="s">
        <v>280</v>
      </c>
      <c r="J23" s="7">
        <v>1</v>
      </c>
      <c r="K23" s="7"/>
    </row>
    <row r="24" spans="1:11" ht="24.6" thickBot="1" x14ac:dyDescent="0.35">
      <c r="A24" s="1"/>
      <c r="B24" s="11">
        <f t="shared" si="0"/>
        <v>22</v>
      </c>
      <c r="C24" s="13" t="s">
        <v>7</v>
      </c>
      <c r="D24" s="9" t="s">
        <v>45</v>
      </c>
      <c r="E24" s="10" t="s">
        <v>102</v>
      </c>
      <c r="F24" s="9" t="s">
        <v>150</v>
      </c>
      <c r="G24" s="10" t="s">
        <v>186</v>
      </c>
      <c r="H24" s="9" t="s">
        <v>226</v>
      </c>
      <c r="I24" s="10" t="s">
        <v>280</v>
      </c>
      <c r="J24" s="9">
        <v>1</v>
      </c>
      <c r="K24" s="9"/>
    </row>
    <row r="25" spans="1:11" ht="15" thickBot="1" x14ac:dyDescent="0.35">
      <c r="A25" s="1"/>
      <c r="B25" s="11">
        <f>ROW(B25) - ROW($B$2)</f>
        <v>23</v>
      </c>
      <c r="C25" s="12" t="s">
        <v>8</v>
      </c>
      <c r="D25" s="7" t="s">
        <v>46</v>
      </c>
      <c r="E25" s="8" t="s">
        <v>103</v>
      </c>
      <c r="F25" s="7" t="s">
        <v>151</v>
      </c>
      <c r="G25" s="8" t="s">
        <v>187</v>
      </c>
      <c r="H25" s="7" t="s">
        <v>227</v>
      </c>
      <c r="I25" s="8" t="s">
        <v>280</v>
      </c>
      <c r="J25" s="7">
        <v>1</v>
      </c>
      <c r="K25" s="7"/>
    </row>
    <row r="26" spans="1:11" ht="24.6" thickBot="1" x14ac:dyDescent="0.35">
      <c r="A26" s="1"/>
      <c r="B26" s="11">
        <f t="shared" si="0"/>
        <v>24</v>
      </c>
      <c r="C26" s="13" t="s">
        <v>9</v>
      </c>
      <c r="D26" s="9" t="s">
        <v>47</v>
      </c>
      <c r="E26" s="10" t="s">
        <v>104</v>
      </c>
      <c r="F26" s="9" t="s">
        <v>152</v>
      </c>
      <c r="G26" s="10" t="s">
        <v>188</v>
      </c>
      <c r="H26" s="9" t="s">
        <v>228</v>
      </c>
      <c r="I26" s="10" t="s">
        <v>280</v>
      </c>
      <c r="J26" s="9">
        <v>1</v>
      </c>
      <c r="K26" s="9"/>
    </row>
    <row r="27" spans="1:11" ht="15" thickBot="1" x14ac:dyDescent="0.35">
      <c r="A27" s="1"/>
      <c r="B27" s="11">
        <f>ROW(B27) - ROW($B$2)</f>
        <v>25</v>
      </c>
      <c r="C27" s="12" t="s">
        <v>10</v>
      </c>
      <c r="D27" s="7" t="s">
        <v>48</v>
      </c>
      <c r="E27" s="8" t="s">
        <v>105</v>
      </c>
      <c r="F27" s="7" t="s">
        <v>280</v>
      </c>
      <c r="G27" s="8" t="s">
        <v>153</v>
      </c>
      <c r="H27" s="7" t="s">
        <v>229</v>
      </c>
      <c r="I27" s="8" t="s">
        <v>280</v>
      </c>
      <c r="J27" s="7">
        <v>1</v>
      </c>
      <c r="K27" s="7"/>
    </row>
    <row r="28" spans="1:11" ht="36.6" thickBot="1" x14ac:dyDescent="0.35">
      <c r="A28" s="1"/>
      <c r="B28" s="11">
        <f t="shared" si="0"/>
        <v>26</v>
      </c>
      <c r="C28" s="13" t="s">
        <v>11</v>
      </c>
      <c r="D28" s="9" t="s">
        <v>49</v>
      </c>
      <c r="E28" s="10" t="s">
        <v>106</v>
      </c>
      <c r="F28" s="9" t="s">
        <v>280</v>
      </c>
      <c r="G28" s="10" t="s">
        <v>154</v>
      </c>
      <c r="H28" s="9" t="s">
        <v>230</v>
      </c>
      <c r="I28" s="10" t="s">
        <v>280</v>
      </c>
      <c r="J28" s="9">
        <v>1</v>
      </c>
      <c r="K28" s="9"/>
    </row>
    <row r="29" spans="1:11" ht="36.6" thickBot="1" x14ac:dyDescent="0.35">
      <c r="A29" s="1"/>
      <c r="B29" s="11">
        <f>ROW(B29) - ROW($B$2)</f>
        <v>27</v>
      </c>
      <c r="C29" s="12" t="s">
        <v>12</v>
      </c>
      <c r="D29" s="7" t="s">
        <v>50</v>
      </c>
      <c r="E29" s="8" t="s">
        <v>107</v>
      </c>
      <c r="F29" s="7" t="s">
        <v>280</v>
      </c>
      <c r="G29" s="8" t="s">
        <v>155</v>
      </c>
      <c r="H29" s="7" t="s">
        <v>231</v>
      </c>
      <c r="I29" s="8" t="s">
        <v>280</v>
      </c>
      <c r="J29" s="7">
        <v>1</v>
      </c>
      <c r="K29" s="7"/>
    </row>
    <row r="30" spans="1:11" ht="15" thickBot="1" x14ac:dyDescent="0.35">
      <c r="A30" s="1"/>
      <c r="B30" s="11">
        <f t="shared" si="0"/>
        <v>28</v>
      </c>
      <c r="C30" s="13" t="s">
        <v>13</v>
      </c>
      <c r="D30" s="9" t="s">
        <v>51</v>
      </c>
      <c r="E30" s="10" t="s">
        <v>108</v>
      </c>
      <c r="F30" s="9" t="s">
        <v>280</v>
      </c>
      <c r="G30" s="10">
        <v>744821201</v>
      </c>
      <c r="H30" s="9" t="s">
        <v>232</v>
      </c>
      <c r="I30" s="10" t="s">
        <v>280</v>
      </c>
      <c r="J30" s="9">
        <v>1</v>
      </c>
      <c r="K30" s="9"/>
    </row>
    <row r="31" spans="1:11" ht="24.6" thickBot="1" x14ac:dyDescent="0.35">
      <c r="A31" s="1"/>
      <c r="B31" s="11">
        <f>ROW(B31) - ROW($B$2)</f>
        <v>29</v>
      </c>
      <c r="C31" s="12" t="s">
        <v>14</v>
      </c>
      <c r="D31" s="7" t="s">
        <v>52</v>
      </c>
      <c r="E31" s="8" t="s">
        <v>109</v>
      </c>
      <c r="F31" s="7" t="s">
        <v>280</v>
      </c>
      <c r="G31" s="8" t="s">
        <v>156</v>
      </c>
      <c r="H31" s="7" t="s">
        <v>233</v>
      </c>
      <c r="I31" s="8" t="s">
        <v>280</v>
      </c>
      <c r="J31" s="7">
        <v>1</v>
      </c>
      <c r="K31" s="7"/>
    </row>
    <row r="32" spans="1:11" ht="24.6" thickBot="1" x14ac:dyDescent="0.35">
      <c r="A32" s="1"/>
      <c r="B32" s="11">
        <f t="shared" si="0"/>
        <v>30</v>
      </c>
      <c r="C32" s="13" t="s">
        <v>14</v>
      </c>
      <c r="D32" s="9" t="s">
        <v>53</v>
      </c>
      <c r="E32" s="10" t="s">
        <v>110</v>
      </c>
      <c r="F32" s="9" t="s">
        <v>280</v>
      </c>
      <c r="G32" s="10" t="s">
        <v>157</v>
      </c>
      <c r="H32" s="9" t="s">
        <v>234</v>
      </c>
      <c r="I32" s="10" t="s">
        <v>258</v>
      </c>
      <c r="J32" s="9">
        <v>1</v>
      </c>
      <c r="K32" s="9"/>
    </row>
    <row r="33" spans="1:11" ht="15" thickBot="1" x14ac:dyDescent="0.35">
      <c r="A33" s="1"/>
      <c r="B33" s="11">
        <f>ROW(B33) - ROW($B$2)</f>
        <v>31</v>
      </c>
      <c r="C33" s="12" t="s">
        <v>15</v>
      </c>
      <c r="D33" s="7" t="s">
        <v>54</v>
      </c>
      <c r="E33" s="8" t="s">
        <v>111</v>
      </c>
      <c r="F33" s="7" t="s">
        <v>280</v>
      </c>
      <c r="G33" s="8" t="s">
        <v>158</v>
      </c>
      <c r="H33" s="7" t="s">
        <v>235</v>
      </c>
      <c r="I33" s="8" t="s">
        <v>259</v>
      </c>
      <c r="J33" s="7">
        <v>1</v>
      </c>
      <c r="K33" s="7"/>
    </row>
    <row r="34" spans="1:11" ht="15" thickBot="1" x14ac:dyDescent="0.35">
      <c r="A34" s="1"/>
      <c r="B34" s="11">
        <f t="shared" si="0"/>
        <v>32</v>
      </c>
      <c r="C34" s="13" t="s">
        <v>16</v>
      </c>
      <c r="D34" s="9" t="s">
        <v>55</v>
      </c>
      <c r="E34" s="10" t="s">
        <v>112</v>
      </c>
      <c r="F34" s="9" t="s">
        <v>280</v>
      </c>
      <c r="G34" s="10">
        <v>750343466</v>
      </c>
      <c r="H34" s="9" t="s">
        <v>232</v>
      </c>
      <c r="I34" s="10" t="s">
        <v>280</v>
      </c>
      <c r="J34" s="9">
        <v>1</v>
      </c>
      <c r="K34" s="9"/>
    </row>
    <row r="35" spans="1:11" ht="24.6" thickBot="1" x14ac:dyDescent="0.35">
      <c r="A35" s="1"/>
      <c r="B35" s="11">
        <f>ROW(B35) - ROW($B$2)</f>
        <v>33</v>
      </c>
      <c r="C35" s="12" t="s">
        <v>17</v>
      </c>
      <c r="D35" s="7" t="s">
        <v>56</v>
      </c>
      <c r="E35" s="8" t="s">
        <v>113</v>
      </c>
      <c r="F35" s="7" t="s">
        <v>159</v>
      </c>
      <c r="G35" s="8" t="s">
        <v>189</v>
      </c>
      <c r="H35" s="7" t="s">
        <v>236</v>
      </c>
      <c r="I35" s="8" t="s">
        <v>280</v>
      </c>
      <c r="J35" s="7">
        <v>1</v>
      </c>
      <c r="K35" s="7"/>
    </row>
    <row r="36" spans="1:11" ht="24.6" thickBot="1" x14ac:dyDescent="0.35">
      <c r="A36" s="1"/>
      <c r="B36" s="11">
        <f t="shared" si="0"/>
        <v>34</v>
      </c>
      <c r="C36" s="13" t="s">
        <v>18</v>
      </c>
      <c r="D36" s="9" t="s">
        <v>57</v>
      </c>
      <c r="E36" s="10" t="s">
        <v>114</v>
      </c>
      <c r="F36" s="9" t="s">
        <v>280</v>
      </c>
      <c r="G36" s="10" t="s">
        <v>160</v>
      </c>
      <c r="H36" s="9" t="s">
        <v>237</v>
      </c>
      <c r="I36" s="10" t="s">
        <v>280</v>
      </c>
      <c r="J36" s="9">
        <v>1</v>
      </c>
      <c r="K36" s="9"/>
    </row>
    <row r="37" spans="1:11" ht="15" thickBot="1" x14ac:dyDescent="0.35">
      <c r="A37" s="1"/>
      <c r="B37" s="11">
        <f>ROW(B37) - ROW($B$2)</f>
        <v>35</v>
      </c>
      <c r="C37" s="12" t="s">
        <v>19</v>
      </c>
      <c r="D37" s="7" t="s">
        <v>58</v>
      </c>
      <c r="E37" s="8" t="s">
        <v>115</v>
      </c>
      <c r="F37" s="7" t="s">
        <v>161</v>
      </c>
      <c r="G37" s="8" t="s">
        <v>190</v>
      </c>
      <c r="H37" s="7" t="s">
        <v>222</v>
      </c>
      <c r="I37" s="8" t="s">
        <v>260</v>
      </c>
      <c r="J37" s="7">
        <v>2</v>
      </c>
      <c r="K37" s="7"/>
    </row>
    <row r="38" spans="1:11" ht="36.6" thickBot="1" x14ac:dyDescent="0.35">
      <c r="A38" s="1"/>
      <c r="B38" s="11">
        <f t="shared" si="0"/>
        <v>36</v>
      </c>
      <c r="C38" s="13" t="s">
        <v>20</v>
      </c>
      <c r="D38" s="9" t="s">
        <v>59</v>
      </c>
      <c r="E38" s="10" t="s">
        <v>116</v>
      </c>
      <c r="F38" s="9" t="s">
        <v>162</v>
      </c>
      <c r="G38" s="10" t="s">
        <v>191</v>
      </c>
      <c r="H38" s="9" t="s">
        <v>238</v>
      </c>
      <c r="I38" s="10" t="s">
        <v>261</v>
      </c>
      <c r="J38" s="9">
        <v>1</v>
      </c>
      <c r="K38" s="9"/>
    </row>
    <row r="39" spans="1:11" ht="15" thickBot="1" x14ac:dyDescent="0.35">
      <c r="A39" s="1"/>
      <c r="B39" s="11">
        <f>ROW(B39) - ROW($B$2)</f>
        <v>37</v>
      </c>
      <c r="C39" s="12" t="s">
        <v>20</v>
      </c>
      <c r="D39" s="7" t="s">
        <v>60</v>
      </c>
      <c r="E39" s="8" t="s">
        <v>117</v>
      </c>
      <c r="F39" s="7" t="s">
        <v>163</v>
      </c>
      <c r="G39" s="8" t="s">
        <v>192</v>
      </c>
      <c r="H39" s="7" t="s">
        <v>222</v>
      </c>
      <c r="I39" s="8" t="s">
        <v>262</v>
      </c>
      <c r="J39" s="7">
        <v>1</v>
      </c>
      <c r="K39" s="7"/>
    </row>
    <row r="40" spans="1:11" ht="15" thickBot="1" x14ac:dyDescent="0.35">
      <c r="A40" s="1"/>
      <c r="B40" s="11">
        <f t="shared" si="0"/>
        <v>38</v>
      </c>
      <c r="C40" s="13" t="s">
        <v>19</v>
      </c>
      <c r="D40" s="9" t="s">
        <v>61</v>
      </c>
      <c r="E40" s="10" t="s">
        <v>118</v>
      </c>
      <c r="F40" s="9" t="s">
        <v>163</v>
      </c>
      <c r="G40" s="10" t="s">
        <v>193</v>
      </c>
      <c r="H40" s="9" t="s">
        <v>222</v>
      </c>
      <c r="I40" s="10" t="s">
        <v>263</v>
      </c>
      <c r="J40" s="9">
        <v>1</v>
      </c>
      <c r="K40" s="9"/>
    </row>
    <row r="41" spans="1:11" ht="15" thickBot="1" x14ac:dyDescent="0.35">
      <c r="A41" s="1"/>
      <c r="B41" s="11">
        <f>ROW(B41) - ROW($B$2)</f>
        <v>39</v>
      </c>
      <c r="C41" s="12" t="s">
        <v>19</v>
      </c>
      <c r="D41" s="7" t="s">
        <v>62</v>
      </c>
      <c r="E41" s="8" t="s">
        <v>119</v>
      </c>
      <c r="F41" s="7" t="s">
        <v>163</v>
      </c>
      <c r="G41" s="8" t="s">
        <v>194</v>
      </c>
      <c r="H41" s="7" t="s">
        <v>222</v>
      </c>
      <c r="I41" s="8" t="s">
        <v>264</v>
      </c>
      <c r="J41" s="7">
        <v>2</v>
      </c>
      <c r="K41" s="7"/>
    </row>
    <row r="42" spans="1:11" ht="15" thickBot="1" x14ac:dyDescent="0.35">
      <c r="A42" s="1"/>
      <c r="B42" s="11">
        <f t="shared" si="0"/>
        <v>40</v>
      </c>
      <c r="C42" s="13" t="s">
        <v>20</v>
      </c>
      <c r="D42" s="9" t="s">
        <v>63</v>
      </c>
      <c r="E42" s="10" t="s">
        <v>120</v>
      </c>
      <c r="F42" s="9" t="s">
        <v>163</v>
      </c>
      <c r="G42" s="10" t="s">
        <v>195</v>
      </c>
      <c r="H42" s="9" t="s">
        <v>222</v>
      </c>
      <c r="I42" s="10" t="s">
        <v>265</v>
      </c>
      <c r="J42" s="9">
        <v>2</v>
      </c>
      <c r="K42" s="9"/>
    </row>
    <row r="43" spans="1:11" ht="15" thickBot="1" x14ac:dyDescent="0.35">
      <c r="A43" s="1"/>
      <c r="B43" s="11">
        <f>ROW(B43) - ROW($B$2)</f>
        <v>41</v>
      </c>
      <c r="C43" s="12" t="s">
        <v>19</v>
      </c>
      <c r="D43" s="7" t="s">
        <v>64</v>
      </c>
      <c r="E43" s="8" t="s">
        <v>121</v>
      </c>
      <c r="F43" s="7" t="s">
        <v>163</v>
      </c>
      <c r="G43" s="8" t="s">
        <v>196</v>
      </c>
      <c r="H43" s="7" t="s">
        <v>222</v>
      </c>
      <c r="I43" s="8" t="s">
        <v>266</v>
      </c>
      <c r="J43" s="7">
        <v>1</v>
      </c>
      <c r="K43" s="7"/>
    </row>
    <row r="44" spans="1:11" ht="15" thickBot="1" x14ac:dyDescent="0.35">
      <c r="A44" s="1"/>
      <c r="B44" s="11">
        <f t="shared" si="0"/>
        <v>42</v>
      </c>
      <c r="C44" s="13" t="s">
        <v>19</v>
      </c>
      <c r="D44" s="9" t="s">
        <v>65</v>
      </c>
      <c r="E44" s="10" t="s">
        <v>122</v>
      </c>
      <c r="F44" s="9" t="s">
        <v>163</v>
      </c>
      <c r="G44" s="10" t="s">
        <v>197</v>
      </c>
      <c r="H44" s="9" t="s">
        <v>222</v>
      </c>
      <c r="I44" s="10" t="s">
        <v>267</v>
      </c>
      <c r="J44" s="9">
        <v>1</v>
      </c>
      <c r="K44" s="9"/>
    </row>
    <row r="45" spans="1:11" ht="36.6" thickBot="1" x14ac:dyDescent="0.35">
      <c r="A45" s="1"/>
      <c r="B45" s="11">
        <f>ROW(B45) - ROW($B$2)</f>
        <v>43</v>
      </c>
      <c r="C45" s="12" t="s">
        <v>20</v>
      </c>
      <c r="D45" s="7" t="s">
        <v>66</v>
      </c>
      <c r="E45" s="8" t="s">
        <v>123</v>
      </c>
      <c r="F45" s="7" t="s">
        <v>163</v>
      </c>
      <c r="G45" s="8" t="s">
        <v>198</v>
      </c>
      <c r="H45" s="7" t="s">
        <v>239</v>
      </c>
      <c r="I45" s="8" t="s">
        <v>268</v>
      </c>
      <c r="J45" s="7">
        <v>2</v>
      </c>
      <c r="K45" s="7"/>
    </row>
    <row r="46" spans="1:11" ht="36.6" thickBot="1" x14ac:dyDescent="0.35">
      <c r="A46" s="1"/>
      <c r="B46" s="11">
        <f t="shared" si="0"/>
        <v>44</v>
      </c>
      <c r="C46" s="13" t="s">
        <v>20</v>
      </c>
      <c r="D46" s="9" t="s">
        <v>67</v>
      </c>
      <c r="E46" s="10" t="s">
        <v>124</v>
      </c>
      <c r="F46" s="9" t="s">
        <v>162</v>
      </c>
      <c r="G46" s="10" t="s">
        <v>199</v>
      </c>
      <c r="H46" s="9" t="s">
        <v>238</v>
      </c>
      <c r="I46" s="10" t="s">
        <v>269</v>
      </c>
      <c r="J46" s="9">
        <v>1</v>
      </c>
      <c r="K46" s="9"/>
    </row>
    <row r="47" spans="1:11" ht="15" thickBot="1" x14ac:dyDescent="0.35">
      <c r="A47" s="1"/>
      <c r="B47" s="11">
        <f>ROW(B47) - ROW($B$2)</f>
        <v>45</v>
      </c>
      <c r="C47" s="12" t="s">
        <v>20</v>
      </c>
      <c r="D47" s="7" t="s">
        <v>68</v>
      </c>
      <c r="E47" s="8" t="s">
        <v>125</v>
      </c>
      <c r="F47" s="7" t="s">
        <v>162</v>
      </c>
      <c r="G47" s="8" t="s">
        <v>200</v>
      </c>
      <c r="H47" s="7" t="s">
        <v>222</v>
      </c>
      <c r="I47" s="8" t="s">
        <v>270</v>
      </c>
      <c r="J47" s="7">
        <v>1</v>
      </c>
      <c r="K47" s="7"/>
    </row>
    <row r="48" spans="1:11" ht="15" thickBot="1" x14ac:dyDescent="0.35">
      <c r="A48" s="1"/>
      <c r="B48" s="11">
        <f t="shared" si="0"/>
        <v>46</v>
      </c>
      <c r="C48" s="13" t="s">
        <v>20</v>
      </c>
      <c r="D48" s="9" t="s">
        <v>69</v>
      </c>
      <c r="E48" s="10" t="s">
        <v>126</v>
      </c>
      <c r="F48" s="9" t="s">
        <v>161</v>
      </c>
      <c r="G48" s="10" t="s">
        <v>201</v>
      </c>
      <c r="H48" s="9" t="s">
        <v>222</v>
      </c>
      <c r="I48" s="10" t="s">
        <v>271</v>
      </c>
      <c r="J48" s="9">
        <v>1</v>
      </c>
      <c r="K48" s="9"/>
    </row>
    <row r="49" spans="1:11" ht="15" thickBot="1" x14ac:dyDescent="0.35">
      <c r="A49" s="1"/>
      <c r="B49" s="11">
        <f>ROW(B49) - ROW($B$2)</f>
        <v>47</v>
      </c>
      <c r="C49" s="12" t="s">
        <v>20</v>
      </c>
      <c r="D49" s="7" t="s">
        <v>70</v>
      </c>
      <c r="E49" s="8" t="s">
        <v>127</v>
      </c>
      <c r="F49" s="7" t="s">
        <v>164</v>
      </c>
      <c r="G49" s="8" t="s">
        <v>202</v>
      </c>
      <c r="H49" s="7" t="s">
        <v>222</v>
      </c>
      <c r="I49" s="8" t="s">
        <v>264</v>
      </c>
      <c r="J49" s="7">
        <v>2</v>
      </c>
      <c r="K49" s="7"/>
    </row>
    <row r="50" spans="1:11" ht="15" thickBot="1" x14ac:dyDescent="0.35">
      <c r="A50" s="1"/>
      <c r="B50" s="11">
        <f t="shared" si="0"/>
        <v>48</v>
      </c>
      <c r="C50" s="13" t="s">
        <v>19</v>
      </c>
      <c r="D50" s="9" t="s">
        <v>71</v>
      </c>
      <c r="E50" s="10" t="s">
        <v>128</v>
      </c>
      <c r="F50" s="9" t="s">
        <v>161</v>
      </c>
      <c r="G50" s="10" t="s">
        <v>203</v>
      </c>
      <c r="H50" s="9" t="s">
        <v>222</v>
      </c>
      <c r="I50" s="10" t="s">
        <v>272</v>
      </c>
      <c r="J50" s="9">
        <v>1</v>
      </c>
      <c r="K50" s="9"/>
    </row>
    <row r="51" spans="1:11" ht="15" thickBot="1" x14ac:dyDescent="0.35">
      <c r="A51" s="1"/>
      <c r="B51" s="11">
        <f>ROW(B51) - ROW($B$2)</f>
        <v>49</v>
      </c>
      <c r="C51" s="12" t="s">
        <v>19</v>
      </c>
      <c r="D51" s="7" t="s">
        <v>72</v>
      </c>
      <c r="E51" s="8" t="s">
        <v>129</v>
      </c>
      <c r="F51" s="7" t="s">
        <v>164</v>
      </c>
      <c r="G51" s="8" t="s">
        <v>204</v>
      </c>
      <c r="H51" s="7" t="s">
        <v>222</v>
      </c>
      <c r="I51" s="8" t="s">
        <v>273</v>
      </c>
      <c r="J51" s="7">
        <v>1</v>
      </c>
      <c r="K51" s="7"/>
    </row>
    <row r="52" spans="1:11" ht="15" thickBot="1" x14ac:dyDescent="0.35">
      <c r="A52" s="1"/>
      <c r="B52" s="11">
        <f t="shared" si="0"/>
        <v>50</v>
      </c>
      <c r="C52" s="13" t="s">
        <v>20</v>
      </c>
      <c r="D52" s="9" t="s">
        <v>73</v>
      </c>
      <c r="E52" s="10" t="s">
        <v>130</v>
      </c>
      <c r="F52" s="9" t="s">
        <v>163</v>
      </c>
      <c r="G52" s="10" t="s">
        <v>205</v>
      </c>
      <c r="H52" s="9" t="s">
        <v>222</v>
      </c>
      <c r="I52" s="10" t="s">
        <v>274</v>
      </c>
      <c r="J52" s="9">
        <v>1</v>
      </c>
      <c r="K52" s="9"/>
    </row>
    <row r="53" spans="1:11" ht="15" thickBot="1" x14ac:dyDescent="0.35">
      <c r="A53" s="1"/>
      <c r="B53" s="11">
        <f>ROW(B53) - ROW($B$2)</f>
        <v>51</v>
      </c>
      <c r="C53" s="12" t="s">
        <v>19</v>
      </c>
      <c r="D53" s="7" t="s">
        <v>74</v>
      </c>
      <c r="E53" s="8" t="s">
        <v>131</v>
      </c>
      <c r="F53" s="7" t="s">
        <v>161</v>
      </c>
      <c r="G53" s="8" t="s">
        <v>206</v>
      </c>
      <c r="H53" s="7" t="s">
        <v>222</v>
      </c>
      <c r="I53" s="8" t="s">
        <v>275</v>
      </c>
      <c r="J53" s="7">
        <v>1</v>
      </c>
      <c r="K53" s="7"/>
    </row>
    <row r="54" spans="1:11" ht="15" thickBot="1" x14ac:dyDescent="0.35">
      <c r="A54" s="1"/>
      <c r="B54" s="11">
        <f t="shared" si="0"/>
        <v>52</v>
      </c>
      <c r="C54" s="13" t="s">
        <v>19</v>
      </c>
      <c r="D54" s="9" t="s">
        <v>75</v>
      </c>
      <c r="E54" s="10" t="s">
        <v>132</v>
      </c>
      <c r="F54" s="9" t="s">
        <v>163</v>
      </c>
      <c r="G54" s="10" t="s">
        <v>207</v>
      </c>
      <c r="H54" s="9" t="s">
        <v>222</v>
      </c>
      <c r="I54" s="10" t="s">
        <v>276</v>
      </c>
      <c r="J54" s="9">
        <v>1</v>
      </c>
      <c r="K54" s="9"/>
    </row>
    <row r="55" spans="1:11" ht="15" thickBot="1" x14ac:dyDescent="0.35">
      <c r="A55" s="1"/>
      <c r="B55" s="11">
        <f>ROW(B55) - ROW($B$2)</f>
        <v>53</v>
      </c>
      <c r="C55" s="12" t="s">
        <v>21</v>
      </c>
      <c r="D55" s="7" t="s">
        <v>76</v>
      </c>
      <c r="E55" s="8" t="s">
        <v>133</v>
      </c>
      <c r="F55" s="7" t="s">
        <v>165</v>
      </c>
      <c r="G55" s="8" t="s">
        <v>208</v>
      </c>
      <c r="H55" s="7" t="s">
        <v>240</v>
      </c>
      <c r="I55" s="8" t="s">
        <v>280</v>
      </c>
      <c r="J55" s="7">
        <v>1</v>
      </c>
      <c r="K55" s="7"/>
    </row>
    <row r="56" spans="1:11" ht="15" thickBot="1" x14ac:dyDescent="0.35">
      <c r="A56" s="1"/>
      <c r="B56" s="11">
        <f t="shared" si="0"/>
        <v>54</v>
      </c>
      <c r="C56" s="13" t="s">
        <v>22</v>
      </c>
      <c r="D56" s="9" t="s">
        <v>77</v>
      </c>
      <c r="E56" s="10" t="s">
        <v>134</v>
      </c>
      <c r="F56" s="9" t="s">
        <v>280</v>
      </c>
      <c r="G56" s="10" t="s">
        <v>166</v>
      </c>
      <c r="H56" s="9" t="s">
        <v>241</v>
      </c>
      <c r="I56" s="10" t="s">
        <v>280</v>
      </c>
      <c r="J56" s="9">
        <v>1</v>
      </c>
      <c r="K56" s="9"/>
    </row>
    <row r="57" spans="1:11" ht="15" thickBot="1" x14ac:dyDescent="0.35">
      <c r="A57" s="1"/>
      <c r="B57" s="11">
        <f>ROW(B57) - ROW($B$2)</f>
        <v>55</v>
      </c>
      <c r="C57" s="12" t="s">
        <v>21</v>
      </c>
      <c r="D57" s="7" t="s">
        <v>78</v>
      </c>
      <c r="E57" s="8" t="s">
        <v>135</v>
      </c>
      <c r="F57" s="7" t="s">
        <v>167</v>
      </c>
      <c r="G57" s="8" t="s">
        <v>209</v>
      </c>
      <c r="H57" s="7" t="s">
        <v>240</v>
      </c>
      <c r="I57" s="8" t="s">
        <v>280</v>
      </c>
      <c r="J57" s="7">
        <v>1</v>
      </c>
      <c r="K57" s="7"/>
    </row>
    <row r="58" spans="1:11" ht="15" thickBot="1" x14ac:dyDescent="0.35">
      <c r="A58" s="1"/>
      <c r="B58" s="11">
        <f t="shared" si="0"/>
        <v>56</v>
      </c>
      <c r="C58" s="13" t="s">
        <v>21</v>
      </c>
      <c r="D58" s="9" t="s">
        <v>79</v>
      </c>
      <c r="E58" s="10" t="s">
        <v>136</v>
      </c>
      <c r="F58" s="9" t="s">
        <v>168</v>
      </c>
      <c r="G58" s="10" t="s">
        <v>210</v>
      </c>
      <c r="H58" s="9" t="s">
        <v>240</v>
      </c>
      <c r="I58" s="10" t="s">
        <v>280</v>
      </c>
      <c r="J58" s="9">
        <v>1</v>
      </c>
      <c r="K58" s="9"/>
    </row>
    <row r="59" spans="1:11" ht="15" thickBot="1" x14ac:dyDescent="0.35">
      <c r="A59" s="1"/>
      <c r="B59" s="11">
        <f>ROW(B59) - ROW($B$2)</f>
        <v>57</v>
      </c>
      <c r="C59" s="12" t="s">
        <v>21</v>
      </c>
      <c r="D59" s="7" t="s">
        <v>80</v>
      </c>
      <c r="E59" s="8" t="s">
        <v>137</v>
      </c>
      <c r="F59" s="7" t="s">
        <v>169</v>
      </c>
      <c r="G59" s="8" t="s">
        <v>211</v>
      </c>
      <c r="H59" s="7" t="s">
        <v>240</v>
      </c>
      <c r="I59" s="8" t="s">
        <v>280</v>
      </c>
      <c r="J59" s="7">
        <v>1</v>
      </c>
      <c r="K5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Saad-AIK</cp:lastModifiedBy>
  <dcterms:created xsi:type="dcterms:W3CDTF">2019-12-12T10:34:26Z</dcterms:created>
  <dcterms:modified xsi:type="dcterms:W3CDTF">2025-06-05T21:58:05Z</dcterms:modified>
</cp:coreProperties>
</file>